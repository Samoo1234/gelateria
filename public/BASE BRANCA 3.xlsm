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5227c889f8a3af/Arquivos de Microsoft Copilot Chat/"/>
    </mc:Choice>
  </mc:AlternateContent>
  <xr:revisionPtr revIDLastSave="64" documentId="8_{31CED318-9A80-4E70-B110-1FC4305F9853}" xr6:coauthVersionLast="47" xr6:coauthVersionMax="47" xr10:uidLastSave="{4308E423-BB5C-4A3D-9A77-7889888B02E1}"/>
  <bookViews>
    <workbookView xWindow="-108" yWindow="-108" windowWidth="23256" windowHeight="12456" firstSheet="1" activeTab="1" xr2:uid="{00000000-000D-0000-FFFF-FFFF00000000}"/>
  </bookViews>
  <sheets>
    <sheet name="Receita agua" sheetId="1" r:id="rId1"/>
    <sheet name="receita leite" sheetId="4" r:id="rId2"/>
    <sheet name="custo" sheetId="5" r:id="rId3"/>
    <sheet name="Picole" sheetId="6" r:id="rId4"/>
    <sheet name="Propriedades Acucar" sheetId="2" r:id="rId5"/>
    <sheet name="Propriedades Leite" sheetId="3" r:id="rId6"/>
    <sheet name="propriedades" sheetId="7" r:id="rId7"/>
    <sheet name="Sheet1" sheetId="8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4" l="1"/>
  <c r="K22" i="4"/>
  <c r="F3" i="4"/>
  <c r="AD23" i="4"/>
  <c r="AD24" i="4"/>
  <c r="AD22" i="4"/>
  <c r="AD11" i="4"/>
  <c r="AD12" i="4"/>
  <c r="AD13" i="4"/>
  <c r="AD14" i="4"/>
  <c r="AD15" i="4"/>
  <c r="AD16" i="4"/>
  <c r="AD17" i="4"/>
  <c r="AD18" i="4"/>
  <c r="AD19" i="4"/>
  <c r="AD10" i="4"/>
  <c r="Z3" i="4" l="1"/>
  <c r="AA3" i="4" s="1"/>
  <c r="AA2" i="4"/>
  <c r="F32" i="4" l="1"/>
  <c r="B32" i="4" s="1"/>
  <c r="F33" i="4"/>
  <c r="B33" i="4" s="1"/>
  <c r="B31" i="4"/>
  <c r="F31" i="4"/>
  <c r="F30" i="4"/>
  <c r="B30" i="4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2" i="6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10" i="4"/>
  <c r="S7" i="1"/>
  <c r="S8" i="1"/>
  <c r="S9" i="1"/>
  <c r="S10" i="1"/>
  <c r="S11" i="1"/>
  <c r="S12" i="1"/>
  <c r="S13" i="1"/>
  <c r="S14" i="1"/>
  <c r="S6" i="1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Z10" i="4" l="1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9" i="4"/>
  <c r="K26" i="4" l="1"/>
  <c r="E14" i="4" l="1"/>
  <c r="E15" i="4"/>
  <c r="E16" i="4"/>
  <c r="E17" i="4"/>
  <c r="E11" i="4"/>
  <c r="E12" i="4"/>
  <c r="E23" i="4"/>
  <c r="E21" i="4"/>
  <c r="E19" i="4"/>
  <c r="E8" i="4"/>
  <c r="Z8" i="4"/>
  <c r="E20" i="4"/>
  <c r="E22" i="4"/>
  <c r="E18" i="4"/>
  <c r="E13" i="4"/>
  <c r="E10" i="4"/>
  <c r="E9" i="4"/>
  <c r="E4" i="4"/>
  <c r="G24" i="4"/>
  <c r="O9" i="4"/>
  <c r="O10" i="4"/>
  <c r="O13" i="4"/>
  <c r="D10" i="4"/>
  <c r="D9" i="4"/>
  <c r="D13" i="4"/>
  <c r="D16" i="4"/>
  <c r="D11" i="4"/>
  <c r="D12" i="4"/>
  <c r="D14" i="4"/>
  <c r="D15" i="4"/>
  <c r="D17" i="4"/>
  <c r="D18" i="4"/>
  <c r="D19" i="4"/>
  <c r="D20" i="4"/>
  <c r="D21" i="4"/>
  <c r="D22" i="4"/>
  <c r="D23" i="4"/>
  <c r="D8" i="4"/>
  <c r="G4" i="4"/>
  <c r="F4" i="4"/>
  <c r="D4" i="4"/>
  <c r="C4" i="4"/>
  <c r="C10" i="1"/>
  <c r="E10" i="1" s="1"/>
  <c r="C9" i="1"/>
  <c r="E9" i="1" s="1"/>
  <c r="C5" i="1"/>
  <c r="E5" i="1" s="1"/>
  <c r="C7" i="1"/>
  <c r="D7" i="1"/>
  <c r="D6" i="1"/>
  <c r="E6" i="1" s="1"/>
  <c r="C6" i="1"/>
  <c r="C8" i="1"/>
  <c r="E8" i="1" s="1"/>
  <c r="D11" i="1"/>
  <c r="E11" i="1" s="1"/>
  <c r="C12" i="1"/>
  <c r="E12" i="1" s="1"/>
  <c r="C13" i="1"/>
  <c r="E13" i="1" s="1"/>
  <c r="C14" i="1"/>
  <c r="E14" i="1" s="1"/>
  <c r="B3" i="1"/>
  <c r="J10" i="1"/>
  <c r="J9" i="1"/>
  <c r="J5" i="1"/>
  <c r="J6" i="1"/>
  <c r="J14" i="1"/>
  <c r="J13" i="1"/>
  <c r="J12" i="1"/>
  <c r="J11" i="1"/>
  <c r="J8" i="1"/>
  <c r="J7" i="1"/>
  <c r="V14" i="4"/>
  <c r="V12" i="4"/>
  <c r="H8" i="4"/>
  <c r="D40" i="8"/>
  <c r="J6" i="8"/>
  <c r="A13" i="8"/>
  <c r="F18" i="4"/>
  <c r="P4" i="8"/>
  <c r="P5" i="8" s="1"/>
  <c r="P6" i="8" s="1"/>
  <c r="E1" i="8"/>
  <c r="F9" i="4"/>
  <c r="F10" i="4"/>
  <c r="F11" i="4"/>
  <c r="F12" i="4"/>
  <c r="F14" i="4"/>
  <c r="F15" i="4"/>
  <c r="F13" i="4"/>
  <c r="F16" i="4"/>
  <c r="F17" i="4"/>
  <c r="F19" i="4"/>
  <c r="F20" i="4"/>
  <c r="F21" i="4"/>
  <c r="F22" i="4"/>
  <c r="F23" i="4"/>
  <c r="F24" i="4"/>
  <c r="F8" i="4"/>
  <c r="C8" i="4"/>
  <c r="L22" i="4"/>
  <c r="L21" i="4"/>
  <c r="C21" i="4"/>
  <c r="G22" i="4"/>
  <c r="G21" i="4"/>
  <c r="C22" i="4"/>
  <c r="M25" i="4"/>
  <c r="M24" i="4"/>
  <c r="M9" i="4"/>
  <c r="M8" i="4"/>
  <c r="G23" i="4"/>
  <c r="G20" i="4"/>
  <c r="G19" i="4"/>
  <c r="G18" i="4"/>
  <c r="G17" i="4"/>
  <c r="G16" i="4"/>
  <c r="G13" i="4"/>
  <c r="G15" i="4"/>
  <c r="G14" i="4"/>
  <c r="G12" i="4"/>
  <c r="G11" i="4"/>
  <c r="G10" i="4"/>
  <c r="G9" i="4"/>
  <c r="G8" i="4"/>
  <c r="C23" i="4"/>
  <c r="C20" i="4"/>
  <c r="C19" i="4"/>
  <c r="C18" i="4"/>
  <c r="C17" i="4"/>
  <c r="C16" i="4"/>
  <c r="C13" i="4"/>
  <c r="C15" i="4"/>
  <c r="C14" i="4"/>
  <c r="C12" i="4"/>
  <c r="C11" i="4"/>
  <c r="C10" i="4"/>
  <c r="C9" i="4"/>
  <c r="X19" i="4"/>
  <c r="K25" i="4"/>
  <c r="K24" i="4"/>
  <c r="L24" i="4" s="1"/>
  <c r="K23" i="4"/>
  <c r="L23" i="4" s="1"/>
  <c r="K20" i="4"/>
  <c r="L20" i="4" s="1"/>
  <c r="K19" i="4"/>
  <c r="L19" i="4" s="1"/>
  <c r="K18" i="4"/>
  <c r="L18" i="4" s="1"/>
  <c r="K17" i="4"/>
  <c r="L17" i="4" s="1"/>
  <c r="K16" i="4"/>
  <c r="L16" i="4" s="1"/>
  <c r="K13" i="4"/>
  <c r="L13" i="4" s="1"/>
  <c r="K15" i="4"/>
  <c r="L15" i="4" s="1"/>
  <c r="K14" i="4"/>
  <c r="L14" i="4" s="1"/>
  <c r="K12" i="4"/>
  <c r="L12" i="4" s="1"/>
  <c r="K11" i="4"/>
  <c r="L11" i="4" s="1"/>
  <c r="K10" i="4"/>
  <c r="L10" i="4" s="1"/>
  <c r="K9" i="4"/>
  <c r="L9" i="4" s="1"/>
  <c r="K8" i="4"/>
  <c r="L8" i="4" s="1"/>
  <c r="E24" i="2"/>
  <c r="E23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E3" i="2"/>
  <c r="F25" i="2"/>
  <c r="E25" i="2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2" i="6"/>
  <c r="B18" i="6"/>
  <c r="C18" i="6"/>
  <c r="E18" i="6"/>
  <c r="F18" i="6"/>
  <c r="I3" i="6"/>
  <c r="L3" i="6" s="1"/>
  <c r="I4" i="6"/>
  <c r="L4" i="6" s="1"/>
  <c r="I5" i="6"/>
  <c r="L5" i="6" s="1"/>
  <c r="I6" i="6"/>
  <c r="L6" i="6" s="1"/>
  <c r="I7" i="6"/>
  <c r="L7" i="6" s="1"/>
  <c r="I8" i="6"/>
  <c r="L8" i="6" s="1"/>
  <c r="I9" i="6"/>
  <c r="L9" i="6" s="1"/>
  <c r="I10" i="6"/>
  <c r="L10" i="6" s="1"/>
  <c r="I11" i="6"/>
  <c r="L11" i="6" s="1"/>
  <c r="I12" i="6"/>
  <c r="L12" i="6" s="1"/>
  <c r="I13" i="6"/>
  <c r="L13" i="6" s="1"/>
  <c r="I14" i="6"/>
  <c r="L14" i="6" s="1"/>
  <c r="I15" i="6"/>
  <c r="L15" i="6" s="1"/>
  <c r="I16" i="6"/>
  <c r="L16" i="6" s="1"/>
  <c r="I2" i="6"/>
  <c r="L2" i="6" s="1"/>
  <c r="G3" i="6"/>
  <c r="J3" i="6" s="1"/>
  <c r="G4" i="6"/>
  <c r="J4" i="6" s="1"/>
  <c r="G5" i="6"/>
  <c r="G6" i="6"/>
  <c r="G7" i="6"/>
  <c r="G8" i="6"/>
  <c r="J8" i="6" s="1"/>
  <c r="G9" i="6"/>
  <c r="G10" i="6"/>
  <c r="G11" i="6"/>
  <c r="G12" i="6"/>
  <c r="J12" i="6" s="1"/>
  <c r="G13" i="6"/>
  <c r="G14" i="6"/>
  <c r="G15" i="6"/>
  <c r="G16" i="6"/>
  <c r="J16" i="6" s="1"/>
  <c r="G2" i="6"/>
  <c r="H18" i="6"/>
  <c r="H18" i="5"/>
  <c r="O18" i="5"/>
  <c r="I3" i="5"/>
  <c r="L3" i="5" s="1"/>
  <c r="I4" i="5"/>
  <c r="L4" i="5" s="1"/>
  <c r="I5" i="5"/>
  <c r="L5" i="5" s="1"/>
  <c r="I6" i="5"/>
  <c r="L6" i="5" s="1"/>
  <c r="I7" i="5"/>
  <c r="L7" i="5"/>
  <c r="I8" i="5"/>
  <c r="L8" i="5"/>
  <c r="I9" i="5"/>
  <c r="L9" i="5" s="1"/>
  <c r="I10" i="5"/>
  <c r="L10" i="5" s="1"/>
  <c r="I11" i="5"/>
  <c r="L11" i="5" s="1"/>
  <c r="I12" i="5"/>
  <c r="L12" i="5" s="1"/>
  <c r="I13" i="5"/>
  <c r="L13" i="5" s="1"/>
  <c r="I14" i="5"/>
  <c r="L14" i="5" s="1"/>
  <c r="I15" i="5"/>
  <c r="I16" i="5"/>
  <c r="L16" i="5" s="1"/>
  <c r="I2" i="5"/>
  <c r="C18" i="5"/>
  <c r="E18" i="5"/>
  <c r="F18" i="5"/>
  <c r="B18" i="5"/>
  <c r="L15" i="5"/>
  <c r="D4" i="5"/>
  <c r="G3" i="5"/>
  <c r="J3" i="5" s="1"/>
  <c r="G4" i="5"/>
  <c r="G5" i="5"/>
  <c r="G6" i="5"/>
  <c r="J6" i="5" s="1"/>
  <c r="G7" i="5"/>
  <c r="G8" i="5"/>
  <c r="J8" i="5" s="1"/>
  <c r="G9" i="5"/>
  <c r="G10" i="5"/>
  <c r="G11" i="5"/>
  <c r="J11" i="5" s="1"/>
  <c r="G12" i="5"/>
  <c r="J12" i="5" s="1"/>
  <c r="G13" i="5"/>
  <c r="G14" i="5"/>
  <c r="G15" i="5"/>
  <c r="J15" i="5" s="1"/>
  <c r="G16" i="5"/>
  <c r="G2" i="5"/>
  <c r="D3" i="5"/>
  <c r="D5" i="5"/>
  <c r="D6" i="5"/>
  <c r="D7" i="5"/>
  <c r="D8" i="5"/>
  <c r="D9" i="5"/>
  <c r="D10" i="5"/>
  <c r="D11" i="5"/>
  <c r="D12" i="5"/>
  <c r="D13" i="5"/>
  <c r="D14" i="5"/>
  <c r="D15" i="5"/>
  <c r="D16" i="5"/>
  <c r="D2" i="5"/>
  <c r="J7" i="5"/>
  <c r="H5" i="1"/>
  <c r="I5" i="1" s="1"/>
  <c r="H16" i="1"/>
  <c r="H15" i="1"/>
  <c r="H14" i="1"/>
  <c r="I14" i="1" s="1"/>
  <c r="H13" i="1"/>
  <c r="I13" i="1" s="1"/>
  <c r="H12" i="1"/>
  <c r="I12" i="1" s="1"/>
  <c r="H11" i="1"/>
  <c r="I11" i="1" s="1"/>
  <c r="H10" i="1"/>
  <c r="I10" i="1" s="1"/>
  <c r="H9" i="1"/>
  <c r="I9" i="1" s="1"/>
  <c r="H8" i="1"/>
  <c r="I8" i="1" s="1"/>
  <c r="H7" i="1"/>
  <c r="I7" i="1" s="1"/>
  <c r="H6" i="1"/>
  <c r="I6" i="1" s="1"/>
  <c r="I18" i="5" l="1"/>
  <c r="D18" i="5"/>
  <c r="J10" i="5"/>
  <c r="J14" i="5"/>
  <c r="D17" i="1"/>
  <c r="J2" i="5"/>
  <c r="J13" i="5"/>
  <c r="J9" i="5"/>
  <c r="J5" i="5"/>
  <c r="J16" i="5"/>
  <c r="J4" i="5"/>
  <c r="J14" i="6"/>
  <c r="J10" i="6"/>
  <c r="I18" i="6"/>
  <c r="J9" i="6"/>
  <c r="J6" i="6"/>
  <c r="D18" i="6"/>
  <c r="J7" i="6"/>
  <c r="J5" i="6"/>
  <c r="J11" i="6"/>
  <c r="J15" i="6"/>
  <c r="J13" i="6"/>
  <c r="G18" i="6"/>
  <c r="L18" i="6"/>
  <c r="J2" i="6"/>
  <c r="E7" i="1"/>
  <c r="E15" i="1" s="1"/>
  <c r="C15" i="1" s="1"/>
  <c r="C17" i="1" s="1"/>
  <c r="E25" i="4"/>
  <c r="E27" i="4" s="1"/>
  <c r="L2" i="5"/>
  <c r="L18" i="5" s="1"/>
  <c r="G18" i="5"/>
  <c r="J18" i="5" l="1"/>
  <c r="B20" i="5" s="1"/>
  <c r="J18" i="6"/>
  <c r="E1" i="1"/>
  <c r="E17" i="1"/>
  <c r="B15" i="1"/>
  <c r="G25" i="4"/>
  <c r="B25" i="4"/>
  <c r="Z25" i="4" s="1"/>
  <c r="I15" i="1" l="1"/>
  <c r="S15" i="1"/>
  <c r="B16" i="1"/>
  <c r="J15" i="1"/>
  <c r="L25" i="4"/>
  <c r="B26" i="4"/>
  <c r="F25" i="4"/>
  <c r="F27" i="4" s="1"/>
  <c r="I16" i="1" l="1"/>
  <c r="I17" i="1" s="1"/>
  <c r="S16" i="1"/>
  <c r="L26" i="4"/>
  <c r="L27" i="4" s="1"/>
  <c r="Z26" i="4"/>
  <c r="AB26" i="4" s="1"/>
  <c r="B17" i="1"/>
  <c r="K12" i="1" s="1"/>
  <c r="J16" i="1"/>
  <c r="J17" i="1" s="1"/>
  <c r="D26" i="4"/>
  <c r="D27" i="4" s="1"/>
  <c r="C26" i="4"/>
  <c r="C27" i="4" s="1"/>
  <c r="G26" i="4"/>
  <c r="G27" i="4" s="1"/>
  <c r="B27" i="4"/>
  <c r="K5" i="1"/>
  <c r="K7" i="1"/>
  <c r="K16" i="1"/>
  <c r="K11" i="1" l="1"/>
  <c r="K9" i="1"/>
  <c r="K13" i="1"/>
  <c r="B18" i="1"/>
  <c r="S17" i="1"/>
  <c r="H21" i="4"/>
  <c r="Z27" i="4"/>
  <c r="K15" i="1"/>
  <c r="K6" i="1"/>
  <c r="K10" i="1"/>
  <c r="K8" i="1"/>
  <c r="K14" i="1"/>
  <c r="H20" i="4"/>
  <c r="H13" i="4"/>
  <c r="H12" i="4"/>
  <c r="H16" i="4"/>
  <c r="B29" i="4"/>
  <c r="H10" i="4"/>
  <c r="H15" i="4"/>
  <c r="H24" i="4"/>
  <c r="H19" i="4"/>
  <c r="H11" i="4"/>
  <c r="H23" i="4"/>
  <c r="H9" i="4"/>
  <c r="H22" i="4"/>
  <c r="H17" i="4"/>
  <c r="H18" i="4"/>
  <c r="H14" i="4"/>
  <c r="H25" i="4"/>
  <c r="K17" i="1"/>
  <c r="K18" i="1" s="1"/>
  <c r="B34" i="4" l="1"/>
  <c r="B35" i="4"/>
  <c r="H27" i="4"/>
  <c r="H28" i="4" s="1"/>
  <c r="A6" i="4"/>
  <c r="B37" i="4" l="1"/>
  <c r="B40" i="4" l="1"/>
  <c r="Z6" i="4"/>
  <c r="B39" i="4"/>
</calcChain>
</file>

<file path=xl/sharedStrings.xml><?xml version="1.0" encoding="utf-8"?>
<sst xmlns="http://schemas.openxmlformats.org/spreadsheetml/2006/main" count="357" uniqueCount="300">
  <si>
    <t>Total desejado (g)</t>
  </si>
  <si>
    <t xml:space="preserve">relative sweetness </t>
  </si>
  <si>
    <t>Extrato seco desejado %</t>
  </si>
  <si>
    <t>Extrato seco desejado (g)</t>
  </si>
  <si>
    <t>Peso total (g)</t>
  </si>
  <si>
    <t>Acucar (g)</t>
  </si>
  <si>
    <t>Outos solidos (g)</t>
  </si>
  <si>
    <t>Extratos secos (g)</t>
  </si>
  <si>
    <t>Ingrediente comprado (g)</t>
  </si>
  <si>
    <t>Ingrediente comprado Valor R$ (g)</t>
  </si>
  <si>
    <t>Ingrediente Valor R$/g</t>
  </si>
  <si>
    <t>Ingrediente Valor total R$/receita</t>
  </si>
  <si>
    <t>POD</t>
  </si>
  <si>
    <t>Poder anticongelante</t>
  </si>
  <si>
    <t>PODER Edulcorante %</t>
  </si>
  <si>
    <t>Poder anticongelante %</t>
  </si>
  <si>
    <t>Extrato seco %</t>
  </si>
  <si>
    <t>ESDL %</t>
  </si>
  <si>
    <t>Gordura %</t>
  </si>
  <si>
    <t>acai medio</t>
  </si>
  <si>
    <t>Leite condensado</t>
  </si>
  <si>
    <t>fat</t>
  </si>
  <si>
    <t>glucose em po</t>
  </si>
  <si>
    <t>dextrose monidratada</t>
  </si>
  <si>
    <t>Invertido</t>
  </si>
  <si>
    <t>Neutro</t>
  </si>
  <si>
    <t>glucose liquida</t>
  </si>
  <si>
    <t>maltodextrina</t>
  </si>
  <si>
    <t>polidextrose</t>
  </si>
  <si>
    <t>Acucar</t>
  </si>
  <si>
    <t>Agua</t>
  </si>
  <si>
    <t xml:space="preserve">Total </t>
  </si>
  <si>
    <t>Preco R$/kg</t>
  </si>
  <si>
    <t>T</t>
  </si>
  <si>
    <t>C</t>
  </si>
  <si>
    <t>Gordura</t>
  </si>
  <si>
    <t>ESDL</t>
  </si>
  <si>
    <t>extrato seco</t>
  </si>
  <si>
    <t>pod</t>
  </si>
  <si>
    <t>Peso Total desejado (g)</t>
  </si>
  <si>
    <t>rum</t>
  </si>
  <si>
    <t>total desejado %</t>
  </si>
  <si>
    <t>baunilha</t>
  </si>
  <si>
    <t>total desejado (g)</t>
  </si>
  <si>
    <t>Peso Total (g)</t>
  </si>
  <si>
    <t>Gordura (g)</t>
  </si>
  <si>
    <t>ESDL (g)</t>
  </si>
  <si>
    <t>extratos seco (g)</t>
  </si>
  <si>
    <t>PAC</t>
  </si>
  <si>
    <t>Produto</t>
  </si>
  <si>
    <t>tipo de acucar</t>
  </si>
  <si>
    <t>Agua %</t>
  </si>
  <si>
    <t>acucar %</t>
  </si>
  <si>
    <t>outros solidos %</t>
  </si>
  <si>
    <t>Salt %</t>
  </si>
  <si>
    <t>PESO DESEJAVEL KG</t>
  </si>
  <si>
    <t>creme cheese</t>
  </si>
  <si>
    <t>LPI</t>
  </si>
  <si>
    <t>lactose</t>
  </si>
  <si>
    <t>leite po integral</t>
  </si>
  <si>
    <t>LPD</t>
  </si>
  <si>
    <t>leite de coco</t>
  </si>
  <si>
    <t>leite condensado</t>
  </si>
  <si>
    <t>crème 68%</t>
  </si>
  <si>
    <t>Chocolate (50%)</t>
  </si>
  <si>
    <t>cacau 100%</t>
  </si>
  <si>
    <t>gema de ovo</t>
  </si>
  <si>
    <t>pasta amendoim</t>
  </si>
  <si>
    <t>glucose</t>
  </si>
  <si>
    <t>max cream</t>
  </si>
  <si>
    <t>dextrose</t>
  </si>
  <si>
    <t>poli</t>
  </si>
  <si>
    <t>açucar invertido</t>
  </si>
  <si>
    <t>açucar</t>
  </si>
  <si>
    <t>leite 3,6%</t>
  </si>
  <si>
    <t>LEITE 3.6%</t>
  </si>
  <si>
    <t>Total (g)</t>
  </si>
  <si>
    <t>temp =</t>
  </si>
  <si>
    <t xml:space="preserve">energia </t>
  </si>
  <si>
    <t>energia</t>
  </si>
  <si>
    <t>variegato</t>
  </si>
  <si>
    <t>frutas V</t>
  </si>
  <si>
    <t>negresco</t>
  </si>
  <si>
    <t>flocos</t>
  </si>
  <si>
    <t>Preco R$/kg flocos/negresco</t>
  </si>
  <si>
    <t>Preco R$/kg frutas vermelhas</t>
  </si>
  <si>
    <t>valor medio do kg</t>
  </si>
  <si>
    <t xml:space="preserve">margem% </t>
  </si>
  <si>
    <t>valor de venda sugerido</t>
  </si>
  <si>
    <t>valor de pote 10l</t>
  </si>
  <si>
    <t>Sorvete</t>
  </si>
  <si>
    <t>custo R$/kg</t>
  </si>
  <si>
    <t>Quantidade fabricada (kg)</t>
  </si>
  <si>
    <t>Custo total por sabor</t>
  </si>
  <si>
    <t>quantidade vendida por mês (kg)</t>
  </si>
  <si>
    <t xml:space="preserve">Preco de venda </t>
  </si>
  <si>
    <t>Receita bruta por sabor</t>
  </si>
  <si>
    <t>Quantidade não vendida (Stock )(kg)</t>
  </si>
  <si>
    <t>perda de estoque (kg)</t>
  </si>
  <si>
    <t>Lucro mensal por sabor</t>
  </si>
  <si>
    <t>total de perda R$</t>
  </si>
  <si>
    <t>Custos da empresa</t>
  </si>
  <si>
    <t>R$/mês</t>
  </si>
  <si>
    <t>Sabor 1</t>
  </si>
  <si>
    <t>Aluguel</t>
  </si>
  <si>
    <t>Sabor 2</t>
  </si>
  <si>
    <t>Empregado 1</t>
  </si>
  <si>
    <t>Sabor 3</t>
  </si>
  <si>
    <t>Empregado 2</t>
  </si>
  <si>
    <t>Sabor 4</t>
  </si>
  <si>
    <t>Empregado 3</t>
  </si>
  <si>
    <t>Sabor 5</t>
  </si>
  <si>
    <t>Empregado 4</t>
  </si>
  <si>
    <t>Sabor 6</t>
  </si>
  <si>
    <t>Contador</t>
  </si>
  <si>
    <t>Sabor 7</t>
  </si>
  <si>
    <t>Imposto</t>
  </si>
  <si>
    <t>Sabor 8</t>
  </si>
  <si>
    <t>Eletricidade</t>
  </si>
  <si>
    <t>Sabor 9</t>
  </si>
  <si>
    <t>Sabor 10</t>
  </si>
  <si>
    <t>Outros</t>
  </si>
  <si>
    <t>Sabor 11</t>
  </si>
  <si>
    <t>Sabor 12</t>
  </si>
  <si>
    <t>Sabor 13</t>
  </si>
  <si>
    <t>Sabor 14</t>
  </si>
  <si>
    <t>Sabor 15</t>
  </si>
  <si>
    <t>Total</t>
  </si>
  <si>
    <t>Picole Lucro ou Perda</t>
  </si>
  <si>
    <t>Lucro final</t>
  </si>
  <si>
    <t>Picole Quantidae Fabricada</t>
  </si>
  <si>
    <t>Custo por unidade</t>
  </si>
  <si>
    <t>Unidades de Picole vendido</t>
  </si>
  <si>
    <t>Preco de venda por unidade de Picole R$</t>
  </si>
  <si>
    <t xml:space="preserve">Unidades Quantidade não vendida (Stock ) </t>
  </si>
  <si>
    <t>perda de estoque unidades</t>
  </si>
  <si>
    <t>Sabor 1 limao</t>
  </si>
  <si>
    <t>Sabor 2 morango</t>
  </si>
  <si>
    <t>Sabor 3 acai</t>
  </si>
  <si>
    <t>Sabor 4 flocos</t>
  </si>
  <si>
    <t>Sabor 5 amendoim</t>
  </si>
  <si>
    <t>Sabor 6 coco</t>
  </si>
  <si>
    <t>Sabor 7 acerola</t>
  </si>
  <si>
    <t>Sabor 8 melancia</t>
  </si>
  <si>
    <t>Sabor 9 chocolate</t>
  </si>
  <si>
    <t>Sabor 10 abacaxi</t>
  </si>
  <si>
    <t>Sabor 11 kiwi</t>
  </si>
  <si>
    <t>Sabor 12 graviola</t>
  </si>
  <si>
    <t>Sabor 13 uva</t>
  </si>
  <si>
    <t>Outros custos por picole</t>
  </si>
  <si>
    <t>molecular weigth</t>
  </si>
  <si>
    <t>Acessulfame</t>
  </si>
  <si>
    <t>Acucar Invertida</t>
  </si>
  <si>
    <t>Acucar Mascavo</t>
  </si>
  <si>
    <t>Dextrose anidra</t>
  </si>
  <si>
    <t>Dextrose monohidradatada</t>
  </si>
  <si>
    <t>Frutose</t>
  </si>
  <si>
    <t>Glucose em Po</t>
  </si>
  <si>
    <t>Glucose Liquida</t>
  </si>
  <si>
    <t>Inulina</t>
  </si>
  <si>
    <t>Isomalte</t>
  </si>
  <si>
    <t>Lactose</t>
  </si>
  <si>
    <t>Maltitol</t>
  </si>
  <si>
    <t>Maltodextrina</t>
  </si>
  <si>
    <t>Mannitol</t>
  </si>
  <si>
    <t>Maple Syrup</t>
  </si>
  <si>
    <t>Mel</t>
  </si>
  <si>
    <t>Polidextose</t>
  </si>
  <si>
    <t>Rapadura</t>
  </si>
  <si>
    <t>Sacarose</t>
  </si>
  <si>
    <t>Sorbitol em po</t>
  </si>
  <si>
    <t>Stevialose</t>
  </si>
  <si>
    <t>Sucralose</t>
  </si>
  <si>
    <t>Xarope de agave</t>
  </si>
  <si>
    <t>Xylitol</t>
  </si>
  <si>
    <t>Sucrose</t>
  </si>
  <si>
    <t xml:space="preserve">outros solidos </t>
  </si>
  <si>
    <t>acucar</t>
  </si>
  <si>
    <t>Creme de leite 18%</t>
  </si>
  <si>
    <t>Creme de leite 20%</t>
  </si>
  <si>
    <t>Creme de leite 25</t>
  </si>
  <si>
    <t>Creme de leite 65%</t>
  </si>
  <si>
    <t>Creme de leite 40%</t>
  </si>
  <si>
    <t>Creme de leite 45%</t>
  </si>
  <si>
    <t>Gordura vegetal hydrogenada</t>
  </si>
  <si>
    <t>Leite de cabra</t>
  </si>
  <si>
    <t>Leite de ovelha</t>
  </si>
  <si>
    <t>Leite desnatado</t>
  </si>
  <si>
    <t>Leite em po desnatado</t>
  </si>
  <si>
    <t>Leite em po integral</t>
  </si>
  <si>
    <t>Leite integral 3%</t>
  </si>
  <si>
    <t>Leite integral 3,6%</t>
  </si>
  <si>
    <t>Leite integral 4%</t>
  </si>
  <si>
    <t>Leite integral 4,5%</t>
  </si>
  <si>
    <t>Leite integral 5%</t>
  </si>
  <si>
    <t>Leite semidesnatadao</t>
  </si>
  <si>
    <t>Manteiga</t>
  </si>
  <si>
    <t>Manteiga Liquida</t>
  </si>
  <si>
    <t>Gema de ovo</t>
  </si>
  <si>
    <t>Ingredientes</t>
  </si>
  <si>
    <t>agua %</t>
  </si>
  <si>
    <t>gordura %</t>
  </si>
  <si>
    <t xml:space="preserve">poder adocante </t>
  </si>
  <si>
    <t>IMP/SPM</t>
  </si>
  <si>
    <t>solidos %</t>
  </si>
  <si>
    <t>full fat / latte intero</t>
  </si>
  <si>
    <t>semi skimmed milk / latte parzialmente scremato</t>
  </si>
  <si>
    <t>skimmed milk / latte magro</t>
  </si>
  <si>
    <t>35% cream / panna 35%</t>
  </si>
  <si>
    <t xml:space="preserve">36% cream / panna 36% </t>
  </si>
  <si>
    <t>38% cream / panna 38%</t>
  </si>
  <si>
    <t xml:space="preserve">milk cream 18% / crema al latte 18% </t>
  </si>
  <si>
    <t xml:space="preserve">skimmed powdered milk / latte magro in polvere </t>
  </si>
  <si>
    <t xml:space="preserve">powdered milk 22% fat / latte in polvere 22% grassi </t>
  </si>
  <si>
    <t xml:space="preserve">powdered semi skimmed milk / latte in polvere parzialmente scremato </t>
  </si>
  <si>
    <t>dextrose / destrosio</t>
  </si>
  <si>
    <t>inverted sugar / zucchero invertito</t>
  </si>
  <si>
    <t>mel</t>
  </si>
  <si>
    <t xml:space="preserve">saccarose / saccarosio </t>
  </si>
  <si>
    <t>glucose atomatizado</t>
  </si>
  <si>
    <t>neutro</t>
  </si>
  <si>
    <t>liofilized coffee / caffè liofilizzato</t>
  </si>
  <si>
    <t>expresso coffe / caffè espresso</t>
  </si>
  <si>
    <t>infuso de canela</t>
  </si>
  <si>
    <t>aromatic herbs infusion / infusode ervas aromaticas</t>
  </si>
  <si>
    <t>caramel / caramello</t>
  </si>
  <si>
    <t>lactose / lattosio</t>
  </si>
  <si>
    <t>natural full fat yogurt / yogurt intero naturale</t>
  </si>
  <si>
    <t>half-fat yogurt / yogurt parzialmente scremato</t>
  </si>
  <si>
    <t xml:space="preserve">non-fat yogurt / yogurt magro </t>
  </si>
  <si>
    <t xml:space="preserve">lemon juice / succo di limone </t>
  </si>
  <si>
    <t>suco de limao</t>
  </si>
  <si>
    <t xml:space="preserve">grapefruit juice / succo di pompelmo </t>
  </si>
  <si>
    <t>suco de laranja</t>
  </si>
  <si>
    <t>suco de mexirica</t>
  </si>
  <si>
    <t>banana / banana</t>
  </si>
  <si>
    <t>abacaxi</t>
  </si>
  <si>
    <t>pessego</t>
  </si>
  <si>
    <t>pera</t>
  </si>
  <si>
    <t>maca</t>
  </si>
  <si>
    <t>mango / mango</t>
  </si>
  <si>
    <t>strawberry / fragola</t>
  </si>
  <si>
    <t>raspberry / lamponi</t>
  </si>
  <si>
    <t xml:space="preserve">blackberry / more </t>
  </si>
  <si>
    <t>apricot / albicocche</t>
  </si>
  <si>
    <t>maracuja</t>
  </si>
  <si>
    <t>berry / ciliegie</t>
  </si>
  <si>
    <t>blueberry / mirtilli</t>
  </si>
  <si>
    <t>melancia</t>
  </si>
  <si>
    <t>figo</t>
  </si>
  <si>
    <t>kiwi / kiwi</t>
  </si>
  <si>
    <t>mamao</t>
  </si>
  <si>
    <t xml:space="preserve">grape / uva </t>
  </si>
  <si>
    <t>cacau seco in po</t>
  </si>
  <si>
    <t>mantega de cacau</t>
  </si>
  <si>
    <t>70% dark coating / copertura nera 70%</t>
  </si>
  <si>
    <t xml:space="preserve">65% dark coating / copertura nera 65% </t>
  </si>
  <si>
    <t xml:space="preserve">60% dark coating / copertura nera 60% </t>
  </si>
  <si>
    <t xml:space="preserve">55% dark coating / copertura nera 55% </t>
  </si>
  <si>
    <t xml:space="preserve">40% milk coating / copertura al latte 40% </t>
  </si>
  <si>
    <t xml:space="preserve">white chocolate / cioccolato bianco </t>
  </si>
  <si>
    <t xml:space="preserve">hazelnut paste / pasta di nocciole </t>
  </si>
  <si>
    <t xml:space="preserve">almond paste / pasta di mandorle </t>
  </si>
  <si>
    <t>walnut paste / pasta di noci</t>
  </si>
  <si>
    <t>pine nut paste / pasta di pinoli</t>
  </si>
  <si>
    <t>pistachio paste / pasta di pistacchi</t>
  </si>
  <si>
    <t xml:space="preserve">nougat paste 50% almonds / pasta di torrone 50% mandorle </t>
  </si>
  <si>
    <t>peanut paste / pasta di arachidi</t>
  </si>
  <si>
    <t>salted herrings / arringhe salate 48 16 52</t>
  </si>
  <si>
    <t>tomate</t>
  </si>
  <si>
    <t>cenoura</t>
  </si>
  <si>
    <t>celery / sedano</t>
  </si>
  <si>
    <t>fennel / finocchio</t>
  </si>
  <si>
    <t>pepino</t>
  </si>
  <si>
    <t>red pepper / peperone rosso</t>
  </si>
  <si>
    <t xml:space="preserve">natural full fat yogurt / yogurt intero naturale </t>
  </si>
  <si>
    <t>roquefort / roquefort</t>
  </si>
  <si>
    <t xml:space="preserve">cured mature cheese / manchego stagionato </t>
  </si>
  <si>
    <t>’cabrales’ cheese / cabrales</t>
  </si>
  <si>
    <t>parmesan / parmigiano</t>
  </si>
  <si>
    <t>gorgonzola cheese / gorgonzola</t>
  </si>
  <si>
    <t xml:space="preserve">mi-cuit foie grass / foie gras mi.cuit </t>
  </si>
  <si>
    <t xml:space="preserve">smoked salmon / salmone affumicato </t>
  </si>
  <si>
    <t xml:space="preserve">caviar / caviale </t>
  </si>
  <si>
    <t>anchovies / acciughe</t>
  </si>
  <si>
    <t>salted herrings / arringhe salate</t>
  </si>
  <si>
    <t>mushrooms / funghi</t>
  </si>
  <si>
    <t>cured ham / prosciutto iberico</t>
  </si>
  <si>
    <t>prawns / gamberetti</t>
  </si>
  <si>
    <t>sea urchin yolk / gemme di ricci di mare</t>
  </si>
  <si>
    <t>fiordipana</t>
  </si>
  <si>
    <t>choc</t>
  </si>
  <si>
    <t>swc</t>
  </si>
  <si>
    <t>afc</t>
  </si>
  <si>
    <t>T (C )</t>
  </si>
  <si>
    <r>
      <t>1 PAC unit corresponds to the freezing point depression power of </t>
    </r>
    <r>
      <rPr>
        <b/>
        <sz val="10"/>
        <color indexed="8"/>
        <rFont val="Georgia"/>
        <family val="1"/>
      </rPr>
      <t>1gr</t>
    </r>
    <r>
      <rPr>
        <sz val="10"/>
        <color indexed="8"/>
        <rFont val="Georgia"/>
        <family val="1"/>
      </rPr>
      <t> of sucrose dissolved in 100gr of water (i.e. a 1% solution)."</t>
    </r>
  </si>
  <si>
    <r>
      <t>ΔT</t>
    </r>
    <r>
      <rPr>
        <sz val="9"/>
        <color indexed="8"/>
        <rFont val="Cabin"/>
      </rPr>
      <t>F</t>
    </r>
    <r>
      <rPr>
        <sz val="12"/>
        <color indexed="8"/>
        <rFont val="Cabin"/>
      </rPr>
      <t> = K</t>
    </r>
    <r>
      <rPr>
        <sz val="9"/>
        <color indexed="8"/>
        <rFont val="Cabin"/>
      </rPr>
      <t>F</t>
    </r>
    <r>
      <rPr>
        <sz val="12"/>
        <color indexed="8"/>
        <rFont val="Cabin"/>
      </rPr>
      <t> · m · i</t>
    </r>
  </si>
  <si>
    <t>water</t>
  </si>
  <si>
    <t>m</t>
  </si>
  <si>
    <t>mol/kg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</si>
</sst>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R$&quot;\ * #,##0.00_-;\-&quot;R$&quot;\ * #,##0.00_-;_-&quot;R$&quot;\ * &quot;-&quot;??_-;_-@_-"/>
    <numFmt numFmtId="165" formatCode="0.0"/>
    <numFmt numFmtId="166" formatCode="&quot;R$&quot;\ #,##0.00"/>
    <numFmt numFmtId="167" formatCode="&quot;R$&quot;\ #,##0.000"/>
    <numFmt numFmtId="168" formatCode="0.000"/>
    <numFmt numFmtId="169" formatCode="&quot;R$&quot;\ #,##0.0"/>
    <numFmt numFmtId="170" formatCode="&quot;R$&quot;\ #,##0"/>
    <numFmt numFmtId="171" formatCode="_-&quot;R$&quot;\ * #,##0_-;\-&quot;R$&quot;\ * #,##0_-;_-&quot;R$&quot;\ * &quot;-&quot;??_-;_-@_-"/>
  </numFmts>
  <fonts count="17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2"/>
      <color indexed="8"/>
      <name val="Cabin"/>
    </font>
    <font>
      <sz val="9"/>
      <color indexed="8"/>
      <name val="Cabin"/>
    </font>
    <font>
      <b/>
      <sz val="14"/>
      <color indexed="8"/>
      <name val="Calibri"/>
      <family val="2"/>
    </font>
    <font>
      <sz val="8"/>
      <name val="Calibri"/>
      <family val="2"/>
    </font>
    <font>
      <sz val="10"/>
      <color indexed="8"/>
      <name val="Georgia"/>
      <family val="1"/>
    </font>
    <font>
      <b/>
      <sz val="10"/>
      <color indexed="8"/>
      <name val="Georgia"/>
      <family val="1"/>
    </font>
    <font>
      <sz val="14"/>
      <color indexed="8"/>
      <name val="Calibri"/>
      <family val="2"/>
    </font>
    <font>
      <sz val="20"/>
      <color indexed="10"/>
      <name val="Calibri"/>
      <family val="2"/>
    </font>
    <font>
      <sz val="16"/>
      <color theme="1"/>
      <name val="Calibri"/>
      <family val="2"/>
      <scheme val="minor"/>
    </font>
    <font>
      <b/>
      <sz val="18"/>
      <color indexed="8"/>
      <name val="Calibri"/>
      <family val="2"/>
    </font>
    <font>
      <sz val="28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 wrapText="1"/>
    </xf>
    <xf numFmtId="165" fontId="0" fillId="0" borderId="0" xfId="0" applyNumberFormat="1"/>
    <xf numFmtId="0" fontId="0" fillId="2" borderId="0" xfId="0" applyFill="1"/>
    <xf numFmtId="165" fontId="0" fillId="2" borderId="0" xfId="0" applyNumberFormat="1" applyFill="1"/>
    <xf numFmtId="0" fontId="0" fillId="3" borderId="0" xfId="0" applyFill="1"/>
    <xf numFmtId="1" fontId="0" fillId="0" borderId="0" xfId="0" applyNumberFormat="1"/>
    <xf numFmtId="0" fontId="1" fillId="0" borderId="0" xfId="0" applyFont="1"/>
    <xf numFmtId="166" fontId="0" fillId="0" borderId="0" xfId="0" applyNumberFormat="1"/>
    <xf numFmtId="167" fontId="0" fillId="0" borderId="0" xfId="0" applyNumberFormat="1"/>
    <xf numFmtId="166" fontId="1" fillId="0" borderId="0" xfId="0" applyNumberFormat="1" applyFont="1"/>
    <xf numFmtId="0" fontId="1" fillId="2" borderId="0" xfId="0" applyFont="1" applyFill="1"/>
    <xf numFmtId="166" fontId="1" fillId="2" borderId="0" xfId="0" applyNumberFormat="1" applyFont="1" applyFill="1"/>
    <xf numFmtId="167" fontId="1" fillId="2" borderId="0" xfId="0" applyNumberFormat="1" applyFont="1" applyFill="1"/>
    <xf numFmtId="164" fontId="0" fillId="0" borderId="0" xfId="0" applyNumberFormat="1"/>
    <xf numFmtId="164" fontId="0" fillId="0" borderId="0" xfId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6" fontId="0" fillId="4" borderId="0" xfId="0" applyNumberFormat="1" applyFill="1"/>
    <xf numFmtId="0" fontId="0" fillId="5" borderId="0" xfId="0" applyFill="1"/>
    <xf numFmtId="1" fontId="1" fillId="2" borderId="0" xfId="0" applyNumberFormat="1" applyFont="1" applyFill="1"/>
    <xf numFmtId="0" fontId="0" fillId="6" borderId="0" xfId="0" applyFill="1" applyAlignment="1">
      <alignment vertical="center" wrapText="1"/>
    </xf>
    <xf numFmtId="0" fontId="0" fillId="6" borderId="0" xfId="0" applyFill="1"/>
    <xf numFmtId="0" fontId="3" fillId="7" borderId="0" xfId="0" applyFont="1" applyFill="1"/>
    <xf numFmtId="0" fontId="1" fillId="7" borderId="0" xfId="0" applyFont="1" applyFill="1"/>
    <xf numFmtId="0" fontId="0" fillId="7" borderId="0" xfId="0" applyFill="1"/>
    <xf numFmtId="168" fontId="0" fillId="7" borderId="0" xfId="0" applyNumberFormat="1" applyFill="1"/>
    <xf numFmtId="2" fontId="0" fillId="7" borderId="0" xfId="0" applyNumberFormat="1" applyFill="1"/>
    <xf numFmtId="0" fontId="0" fillId="7" borderId="0" xfId="0" applyFill="1" applyAlignment="1">
      <alignment vertical="center" wrapText="1"/>
    </xf>
    <xf numFmtId="166" fontId="0" fillId="7" borderId="0" xfId="0" applyNumberFormat="1" applyFill="1"/>
    <xf numFmtId="167" fontId="0" fillId="7" borderId="0" xfId="0" applyNumberFormat="1" applyFill="1"/>
    <xf numFmtId="166" fontId="1" fillId="7" borderId="0" xfId="0" applyNumberFormat="1" applyFont="1" applyFill="1"/>
    <xf numFmtId="0" fontId="5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0" fillId="0" borderId="1" xfId="0" applyBorder="1"/>
    <xf numFmtId="0" fontId="0" fillId="3" borderId="1" xfId="0" applyFill="1" applyBorder="1"/>
    <xf numFmtId="2" fontId="1" fillId="0" borderId="0" xfId="0" applyNumberFormat="1" applyFont="1"/>
    <xf numFmtId="0" fontId="7" fillId="0" borderId="0" xfId="0" applyFont="1"/>
    <xf numFmtId="165" fontId="1" fillId="2" borderId="0" xfId="0" applyNumberFormat="1" applyFont="1" applyFill="1"/>
    <xf numFmtId="0" fontId="9" fillId="0" borderId="0" xfId="0" applyFont="1"/>
    <xf numFmtId="0" fontId="5" fillId="0" borderId="0" xfId="0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right"/>
    </xf>
    <xf numFmtId="0" fontId="5" fillId="8" borderId="0" xfId="0" applyFont="1" applyFill="1" applyAlignment="1">
      <alignment horizontal="right"/>
    </xf>
    <xf numFmtId="166" fontId="13" fillId="0" borderId="0" xfId="0" applyNumberFormat="1" applyFont="1" applyAlignment="1">
      <alignment vertical="center" wrapText="1"/>
    </xf>
    <xf numFmtId="164" fontId="0" fillId="0" borderId="0" xfId="1" applyFont="1" applyFill="1"/>
    <xf numFmtId="0" fontId="0" fillId="9" borderId="0" xfId="0" applyFill="1"/>
    <xf numFmtId="164" fontId="0" fillId="9" borderId="0" xfId="1" applyFont="1" applyFill="1"/>
    <xf numFmtId="164" fontId="0" fillId="9" borderId="0" xfId="0" applyNumberFormat="1" applyFill="1"/>
    <xf numFmtId="1" fontId="0" fillId="9" borderId="0" xfId="0" applyNumberFormat="1" applyFill="1"/>
    <xf numFmtId="166" fontId="0" fillId="9" borderId="0" xfId="0" applyNumberFormat="1" applyFill="1"/>
    <xf numFmtId="9" fontId="0" fillId="0" borderId="0" xfId="2" applyFont="1"/>
    <xf numFmtId="166" fontId="0" fillId="0" borderId="0" xfId="0" applyNumberFormat="1" applyAlignment="1">
      <alignment vertical="center" wrapText="1"/>
    </xf>
    <xf numFmtId="0" fontId="14" fillId="0" borderId="0" xfId="0" applyFont="1"/>
    <xf numFmtId="1" fontId="14" fillId="0" borderId="0" xfId="0" applyNumberFormat="1" applyFont="1"/>
    <xf numFmtId="165" fontId="14" fillId="0" borderId="0" xfId="0" applyNumberFormat="1" applyFont="1"/>
    <xf numFmtId="0" fontId="14" fillId="7" borderId="0" xfId="0" applyFont="1" applyFill="1"/>
    <xf numFmtId="170" fontId="14" fillId="7" borderId="0" xfId="0" applyNumberFormat="1" applyFont="1" applyFill="1"/>
    <xf numFmtId="167" fontId="14" fillId="7" borderId="0" xfId="0" applyNumberFormat="1" applyFont="1" applyFill="1"/>
    <xf numFmtId="166" fontId="14" fillId="7" borderId="0" xfId="0" applyNumberFormat="1" applyFont="1" applyFill="1"/>
    <xf numFmtId="0" fontId="14" fillId="6" borderId="0" xfId="0" applyFont="1" applyFill="1"/>
    <xf numFmtId="0" fontId="15" fillId="8" borderId="0" xfId="0" applyFont="1" applyFill="1" applyAlignment="1">
      <alignment horizontal="left"/>
    </xf>
    <xf numFmtId="0" fontId="16" fillId="0" borderId="0" xfId="0" applyFont="1"/>
    <xf numFmtId="164" fontId="16" fillId="0" borderId="0" xfId="1" applyFont="1"/>
    <xf numFmtId="10" fontId="16" fillId="0" borderId="0" xfId="2" applyNumberFormat="1" applyFont="1"/>
    <xf numFmtId="171" fontId="16" fillId="0" borderId="0" xfId="1" applyNumberFormat="1" applyFont="1"/>
    <xf numFmtId="1" fontId="14" fillId="7" borderId="0" xfId="2" applyNumberFormat="1" applyFont="1" applyFill="1"/>
    <xf numFmtId="1" fontId="14" fillId="6" borderId="0" xfId="0" applyNumberFormat="1" applyFont="1" applyFill="1"/>
    <xf numFmtId="1" fontId="14" fillId="7" borderId="0" xfId="0" applyNumberFormat="1" applyFont="1" applyFill="1"/>
    <xf numFmtId="165" fontId="16" fillId="0" borderId="0" xfId="0" applyNumberFormat="1" applyFont="1"/>
    <xf numFmtId="2" fontId="16" fillId="0" borderId="0" xfId="0" applyNumberFormat="1" applyFont="1"/>
    <xf numFmtId="0" fontId="16" fillId="0" borderId="0" xfId="1" applyNumberFormat="1" applyFont="1"/>
    <xf numFmtId="169" fontId="14" fillId="7" borderId="0" xfId="0" applyNumberFormat="1" applyFont="1" applyFill="1"/>
    <xf numFmtId="1" fontId="16" fillId="10" borderId="0" xfId="0" applyNumberFormat="1" applyFont="1" applyFill="1"/>
    <xf numFmtId="0" fontId="15" fillId="2" borderId="0" xfId="0" applyFont="1" applyFill="1"/>
    <xf numFmtId="1" fontId="15" fillId="2" borderId="0" xfId="0" applyNumberFormat="1" applyFont="1" applyFill="1"/>
    <xf numFmtId="165" fontId="15" fillId="2" borderId="0" xfId="0" applyNumberFormat="1" applyFont="1" applyFill="1"/>
    <xf numFmtId="0" fontId="15" fillId="7" borderId="0" xfId="0" applyFont="1" applyFill="1"/>
    <xf numFmtId="166" fontId="15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 wrapText="1"/>
    </xf>
    <xf numFmtId="0" fontId="15" fillId="8" borderId="0" xfId="0" applyFont="1" applyFill="1" applyAlignment="1">
      <alignment horizontal="right"/>
    </xf>
    <xf numFmtId="170" fontId="12" fillId="0" borderId="0" xfId="0" applyNumberFormat="1" applyFont="1"/>
    <xf numFmtId="0" fontId="0" fillId="0" borderId="0" xfId="0" applyFill="1"/>
    <xf numFmtId="0" fontId="3" fillId="0" borderId="0" xfId="0" applyFont="1" applyFill="1"/>
    <xf numFmtId="0" fontId="1" fillId="0" borderId="0" xfId="0" applyFont="1" applyFill="1"/>
    <xf numFmtId="168" fontId="0" fillId="0" borderId="0" xfId="0" applyNumberFormat="1" applyFill="1"/>
    <xf numFmtId="2" fontId="0" fillId="0" borderId="0" xfId="0" applyNumberFormat="1" applyFill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81919066523239E-2"/>
          <c:y val="8.9965549925574997E-2"/>
          <c:w val="0.70757680453480787"/>
          <c:h val="0.8235308031648788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Mode val="edge"/>
                  <c:yMode val="edge"/>
                  <c:x val="0.26666706123795758"/>
                  <c:y val="0.68858247827651631"/>
                </c:manualLayout>
              </c:layout>
              <c:numFmt formatCode="ge\r\a\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Sheet1!$H$2:$H$20</c:f>
              <c:numCache>
                <c:formatCode>General</c:formatCode>
                <c:ptCount val="19"/>
                <c:pt idx="0">
                  <c:v>23.8</c:v>
                </c:pt>
                <c:pt idx="1">
                  <c:v>31.1</c:v>
                </c:pt>
                <c:pt idx="2">
                  <c:v>28.8</c:v>
                </c:pt>
                <c:pt idx="3">
                  <c:v>34.9</c:v>
                </c:pt>
                <c:pt idx="4">
                  <c:v>41.8</c:v>
                </c:pt>
                <c:pt idx="5">
                  <c:v>31.4</c:v>
                </c:pt>
                <c:pt idx="6">
                  <c:v>27.6</c:v>
                </c:pt>
                <c:pt idx="7">
                  <c:v>25</c:v>
                </c:pt>
              </c:numCache>
            </c:numRef>
          </c:xVal>
          <c:yVal>
            <c:numRef>
              <c:f>Sheet1!$I$2:$I$20</c:f>
              <c:numCache>
                <c:formatCode>General</c:formatCode>
                <c:ptCount val="19"/>
                <c:pt idx="0">
                  <c:v>-11.9</c:v>
                </c:pt>
                <c:pt idx="1">
                  <c:v>-15.6</c:v>
                </c:pt>
                <c:pt idx="2">
                  <c:v>-14.4</c:v>
                </c:pt>
                <c:pt idx="3">
                  <c:v>-17.399999999999999</c:v>
                </c:pt>
                <c:pt idx="4">
                  <c:v>-16.7</c:v>
                </c:pt>
                <c:pt idx="5">
                  <c:v>-15.7</c:v>
                </c:pt>
                <c:pt idx="6">
                  <c:v>-11.1</c:v>
                </c:pt>
                <c:pt idx="7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2E-43F6-BE6B-C492CE6E9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13200"/>
        <c:axId val="1"/>
      </c:scatterChart>
      <c:valAx>
        <c:axId val="29071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713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606179874200812"/>
          <c:y val="0.42906646887581923"/>
          <c:w val="0.18181845084406198"/>
          <c:h val="0.148789178723066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5</xdr:row>
      <xdr:rowOff>0</xdr:rowOff>
    </xdr:from>
    <xdr:to>
      <xdr:col>13</xdr:col>
      <xdr:colOff>409575</xdr:colOff>
      <xdr:row>34</xdr:row>
      <xdr:rowOff>57150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A0CB8D7B-B338-4972-8ACB-D59184664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32" t="18132" r="31992" b="1373"/>
        <a:stretch>
          <a:fillRect/>
        </a:stretch>
      </xdr:blipFill>
      <xdr:spPr bwMode="auto">
        <a:xfrm>
          <a:off x="5619750" y="1143000"/>
          <a:ext cx="4772025" cy="5581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10</xdr:row>
      <xdr:rowOff>152400</xdr:rowOff>
    </xdr:from>
    <xdr:to>
      <xdr:col>20</xdr:col>
      <xdr:colOff>209550</xdr:colOff>
      <xdr:row>25</xdr:row>
      <xdr:rowOff>47625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12232161-5653-4B8E-9B9B-299F1E1FA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447675</xdr:colOff>
      <xdr:row>24</xdr:row>
      <xdr:rowOff>133350</xdr:rowOff>
    </xdr:from>
    <xdr:to>
      <xdr:col>22</xdr:col>
      <xdr:colOff>304800</xdr:colOff>
      <xdr:row>49</xdr:row>
      <xdr:rowOff>28575</xdr:rowOff>
    </xdr:to>
    <xdr:pic>
      <xdr:nvPicPr>
        <xdr:cNvPr id="1027" name="Picture 3">
          <a:extLst>
            <a:ext uri="{FF2B5EF4-FFF2-40B4-BE49-F238E27FC236}">
              <a16:creationId xmlns:a16="http://schemas.microsoft.com/office/drawing/2014/main" id="{BEB602E3-FAC4-4702-8F42-C05037479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72" t="29808" r="13763" b="3021"/>
        <a:stretch>
          <a:fillRect/>
        </a:stretch>
      </xdr:blipFill>
      <xdr:spPr bwMode="auto">
        <a:xfrm>
          <a:off x="4105275" y="4714875"/>
          <a:ext cx="9610725" cy="4657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21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4.4"/>
  <cols>
    <col min="1" max="1" width="23.5546875" bestFit="1" customWidth="1"/>
    <col min="2" max="2" width="12.6640625" bestFit="1" customWidth="1"/>
    <col min="3" max="3" width="10" customWidth="1"/>
    <col min="4" max="4" width="9.6640625" customWidth="1"/>
    <col min="6" max="6" width="13.6640625" customWidth="1"/>
    <col min="7" max="7" width="11.6640625" customWidth="1"/>
    <col min="8" max="8" width="14.5546875" hidden="1" customWidth="1"/>
    <col min="9" max="9" width="12.33203125" hidden="1" customWidth="1"/>
    <col min="10" max="10" width="9.33203125" customWidth="1"/>
    <col min="12" max="12" width="13.33203125" hidden="1" customWidth="1"/>
    <col min="13" max="13" width="16.6640625" hidden="1" customWidth="1"/>
    <col min="14" max="14" width="8.5546875" customWidth="1"/>
    <col min="15" max="17" width="0" hidden="1" customWidth="1"/>
    <col min="18" max="18" width="20.5546875" customWidth="1"/>
  </cols>
  <sheetData>
    <row r="1" spans="1:19">
      <c r="A1" t="s">
        <v>0</v>
      </c>
      <c r="B1" s="3">
        <v>10000</v>
      </c>
      <c r="D1" t="s">
        <v>1</v>
      </c>
      <c r="E1">
        <f>SUM(E5:E15)/$B$1*100</f>
        <v>26</v>
      </c>
    </row>
    <row r="2" spans="1:19">
      <c r="A2" t="s">
        <v>2</v>
      </c>
      <c r="B2" s="3">
        <v>26</v>
      </c>
    </row>
    <row r="3" spans="1:19">
      <c r="A3" t="s">
        <v>3</v>
      </c>
      <c r="B3">
        <f>B2*B1/100</f>
        <v>2600</v>
      </c>
    </row>
    <row r="4" spans="1:19" s="1" customFormat="1" ht="43.2">
      <c r="B4" s="1" t="s">
        <v>4</v>
      </c>
      <c r="C4" s="1" t="s">
        <v>5</v>
      </c>
      <c r="D4" s="1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1" t="s">
        <v>11</v>
      </c>
      <c r="J4" s="1" t="s">
        <v>12</v>
      </c>
      <c r="K4" s="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21"/>
    </row>
    <row r="5" spans="1:19">
      <c r="A5" s="5" t="s">
        <v>19</v>
      </c>
      <c r="B5" s="4">
        <v>3500</v>
      </c>
      <c r="C5">
        <f>N5*B5/100</f>
        <v>140</v>
      </c>
      <c r="E5">
        <f>D5+C5</f>
        <v>140</v>
      </c>
      <c r="F5">
        <v>1000</v>
      </c>
      <c r="G5">
        <v>15</v>
      </c>
      <c r="H5" s="9">
        <f>G5/F5</f>
        <v>1.4999999999999999E-2</v>
      </c>
      <c r="I5" s="8">
        <f>H5*B5</f>
        <v>52.5</v>
      </c>
      <c r="J5" s="2">
        <f>B5*L5/100</f>
        <v>140</v>
      </c>
      <c r="K5" s="2">
        <f>B5*M5/100/$B$17*100</f>
        <v>1.4000000000000001</v>
      </c>
      <c r="L5" s="22">
        <v>4</v>
      </c>
      <c r="M5" s="22">
        <v>4</v>
      </c>
      <c r="N5" s="22">
        <v>4</v>
      </c>
      <c r="O5" s="22"/>
      <c r="P5" s="22"/>
      <c r="Q5" s="22"/>
      <c r="R5" s="5" t="s">
        <v>19</v>
      </c>
      <c r="S5">
        <v>35</v>
      </c>
    </row>
    <row r="6" spans="1:19">
      <c r="A6" t="s">
        <v>20</v>
      </c>
      <c r="B6" s="2">
        <v>0</v>
      </c>
      <c r="C6">
        <f>B6*N6/100</f>
        <v>0</v>
      </c>
      <c r="D6">
        <f>B6*(O6+P6)/100</f>
        <v>0</v>
      </c>
      <c r="E6">
        <f>D6+C6</f>
        <v>0</v>
      </c>
      <c r="F6">
        <v>380</v>
      </c>
      <c r="G6" s="8">
        <v>2.5</v>
      </c>
      <c r="H6" s="9">
        <f>G6/F6</f>
        <v>6.5789473684210523E-3</v>
      </c>
      <c r="I6" s="8">
        <f t="shared" ref="I6:I16" si="0">H6*B6</f>
        <v>0</v>
      </c>
      <c r="J6" s="2">
        <f t="shared" ref="J6:J16" si="1">B6*L6/100</f>
        <v>0</v>
      </c>
      <c r="K6" s="2">
        <f t="shared" ref="K6:K16" si="2">B6*M6/100/$B$17*100</f>
        <v>0</v>
      </c>
      <c r="L6" s="22"/>
      <c r="M6" s="22"/>
      <c r="N6" s="22">
        <v>55</v>
      </c>
      <c r="O6" s="22">
        <v>7</v>
      </c>
      <c r="P6" s="22">
        <v>8</v>
      </c>
      <c r="Q6" s="22"/>
      <c r="R6" t="s">
        <v>20</v>
      </c>
      <c r="S6">
        <f>B6*($S$5)/$B$5</f>
        <v>0</v>
      </c>
    </row>
    <row r="7" spans="1:19">
      <c r="A7" t="s">
        <v>21</v>
      </c>
      <c r="B7" s="2">
        <v>0</v>
      </c>
      <c r="C7">
        <f>B7*N7/100</f>
        <v>0</v>
      </c>
      <c r="D7">
        <f>B7*(O7+P7)/100</f>
        <v>0</v>
      </c>
      <c r="E7">
        <f>D7+C7</f>
        <v>0</v>
      </c>
      <c r="F7">
        <v>300</v>
      </c>
      <c r="G7" s="8">
        <v>0</v>
      </c>
      <c r="H7" s="9">
        <f t="shared" ref="H7:H16" si="3">G7/F7</f>
        <v>0</v>
      </c>
      <c r="I7" s="8">
        <f t="shared" si="0"/>
        <v>0</v>
      </c>
      <c r="J7" s="2">
        <f t="shared" si="1"/>
        <v>0</v>
      </c>
      <c r="K7" s="2">
        <f t="shared" si="2"/>
        <v>0</v>
      </c>
      <c r="L7" s="22"/>
      <c r="M7" s="22"/>
      <c r="N7" s="22">
        <v>0</v>
      </c>
      <c r="O7" s="22">
        <v>0</v>
      </c>
      <c r="P7" s="22">
        <v>100</v>
      </c>
      <c r="Q7" s="22"/>
      <c r="R7" t="s">
        <v>21</v>
      </c>
      <c r="S7">
        <f t="shared" ref="S7:S17" si="4">B7*($S$5)/$B$5</f>
        <v>0</v>
      </c>
    </row>
    <row r="8" spans="1:19">
      <c r="A8" t="s">
        <v>22</v>
      </c>
      <c r="B8" s="2">
        <v>650</v>
      </c>
      <c r="C8">
        <f>B8*N8/100</f>
        <v>617.5</v>
      </c>
      <c r="E8">
        <f t="shared" ref="E8:E14" si="5">D8+C8</f>
        <v>617.5</v>
      </c>
      <c r="F8" s="19">
        <v>1000</v>
      </c>
      <c r="G8" s="18">
        <v>6.15</v>
      </c>
      <c r="H8" s="9">
        <f t="shared" si="3"/>
        <v>6.1500000000000001E-3</v>
      </c>
      <c r="I8" s="8">
        <f t="shared" si="0"/>
        <v>3.9975000000000001</v>
      </c>
      <c r="J8" s="2">
        <f t="shared" si="1"/>
        <v>325</v>
      </c>
      <c r="K8" s="2">
        <f t="shared" si="2"/>
        <v>3.9</v>
      </c>
      <c r="L8" s="22">
        <v>50</v>
      </c>
      <c r="M8" s="22">
        <v>60</v>
      </c>
      <c r="N8" s="22">
        <v>95</v>
      </c>
      <c r="O8" s="22"/>
      <c r="P8" s="22"/>
      <c r="Q8" s="22"/>
      <c r="R8" t="s">
        <v>22</v>
      </c>
      <c r="S8">
        <f t="shared" si="4"/>
        <v>6.5</v>
      </c>
    </row>
    <row r="9" spans="1:19">
      <c r="A9" t="s">
        <v>23</v>
      </c>
      <c r="B9" s="2">
        <v>300</v>
      </c>
      <c r="C9">
        <f>B9*N9/100</f>
        <v>276</v>
      </c>
      <c r="E9">
        <f t="shared" si="5"/>
        <v>276</v>
      </c>
      <c r="F9" s="19">
        <v>1000</v>
      </c>
      <c r="G9" s="18">
        <v>8.8000000000000007</v>
      </c>
      <c r="H9" s="9">
        <f t="shared" si="3"/>
        <v>8.8000000000000005E-3</v>
      </c>
      <c r="I9" s="8">
        <f t="shared" si="0"/>
        <v>2.64</v>
      </c>
      <c r="J9" s="2">
        <f t="shared" si="1"/>
        <v>219</v>
      </c>
      <c r="K9" s="2">
        <f t="shared" si="2"/>
        <v>5.4</v>
      </c>
      <c r="L9" s="22">
        <v>73</v>
      </c>
      <c r="M9" s="22">
        <v>180</v>
      </c>
      <c r="N9" s="22">
        <v>92</v>
      </c>
      <c r="O9" s="22"/>
      <c r="P9" s="22"/>
      <c r="Q9" s="22"/>
      <c r="R9" t="s">
        <v>23</v>
      </c>
      <c r="S9">
        <f t="shared" si="4"/>
        <v>3</v>
      </c>
    </row>
    <row r="10" spans="1:19">
      <c r="A10" t="s">
        <v>24</v>
      </c>
      <c r="B10" s="2">
        <v>0</v>
      </c>
      <c r="C10">
        <f>B10*N10/100</f>
        <v>0</v>
      </c>
      <c r="E10">
        <f t="shared" si="5"/>
        <v>0</v>
      </c>
      <c r="F10" s="19">
        <v>1000</v>
      </c>
      <c r="G10" s="18">
        <v>0.9</v>
      </c>
      <c r="H10" s="9">
        <f t="shared" si="3"/>
        <v>8.9999999999999998E-4</v>
      </c>
      <c r="I10" s="8">
        <f t="shared" si="0"/>
        <v>0</v>
      </c>
      <c r="J10" s="2">
        <f t="shared" si="1"/>
        <v>0</v>
      </c>
      <c r="K10" s="2">
        <f t="shared" si="2"/>
        <v>0</v>
      </c>
      <c r="L10" s="22">
        <v>130</v>
      </c>
      <c r="M10" s="22">
        <v>180</v>
      </c>
      <c r="N10" s="22">
        <v>73</v>
      </c>
      <c r="O10" s="22"/>
      <c r="P10" s="22"/>
      <c r="Q10" s="22"/>
      <c r="R10" t="s">
        <v>24</v>
      </c>
      <c r="S10">
        <f t="shared" si="4"/>
        <v>0</v>
      </c>
    </row>
    <row r="11" spans="1:19">
      <c r="A11" t="s">
        <v>25</v>
      </c>
      <c r="B11" s="2">
        <v>50</v>
      </c>
      <c r="C11">
        <v>0</v>
      </c>
      <c r="D11">
        <f>B11</f>
        <v>50</v>
      </c>
      <c r="E11">
        <f t="shared" si="5"/>
        <v>50</v>
      </c>
      <c r="F11" s="19">
        <v>1000</v>
      </c>
      <c r="G11" s="18">
        <v>60</v>
      </c>
      <c r="H11" s="9">
        <f t="shared" si="3"/>
        <v>0.06</v>
      </c>
      <c r="I11" s="8">
        <f t="shared" si="0"/>
        <v>3</v>
      </c>
      <c r="J11" s="2">
        <f t="shared" si="1"/>
        <v>0</v>
      </c>
      <c r="K11" s="2">
        <f t="shared" si="2"/>
        <v>0</v>
      </c>
      <c r="L11" s="22"/>
      <c r="M11" s="22">
        <v>0</v>
      </c>
      <c r="N11" s="22">
        <v>100</v>
      </c>
      <c r="O11" s="22"/>
      <c r="P11" s="22"/>
      <c r="Q11" s="22"/>
      <c r="R11" t="s">
        <v>25</v>
      </c>
      <c r="S11">
        <f t="shared" si="4"/>
        <v>0.5</v>
      </c>
    </row>
    <row r="12" spans="1:19">
      <c r="A12" t="s">
        <v>26</v>
      </c>
      <c r="B12" s="2">
        <v>0</v>
      </c>
      <c r="C12">
        <f>B12*N12/100</f>
        <v>0</v>
      </c>
      <c r="E12">
        <f t="shared" si="5"/>
        <v>0</v>
      </c>
      <c r="F12" s="19">
        <v>2000</v>
      </c>
      <c r="G12" s="18">
        <v>6</v>
      </c>
      <c r="H12" s="9">
        <f t="shared" si="3"/>
        <v>3.0000000000000001E-3</v>
      </c>
      <c r="I12" s="8">
        <f t="shared" si="0"/>
        <v>0</v>
      </c>
      <c r="J12" s="2">
        <f t="shared" si="1"/>
        <v>0</v>
      </c>
      <c r="K12" s="2">
        <f t="shared" si="2"/>
        <v>0</v>
      </c>
      <c r="L12" s="22">
        <v>50</v>
      </c>
      <c r="M12" s="22">
        <v>60</v>
      </c>
      <c r="N12" s="22">
        <v>80</v>
      </c>
      <c r="O12" s="22"/>
      <c r="P12" s="22"/>
      <c r="Q12" s="22"/>
      <c r="R12" t="s">
        <v>26</v>
      </c>
      <c r="S12">
        <f t="shared" si="4"/>
        <v>0</v>
      </c>
    </row>
    <row r="13" spans="1:19">
      <c r="A13" t="s">
        <v>27</v>
      </c>
      <c r="B13" s="2">
        <v>100</v>
      </c>
      <c r="C13">
        <f>B13*N13/100</f>
        <v>95</v>
      </c>
      <c r="E13">
        <f t="shared" si="5"/>
        <v>95</v>
      </c>
      <c r="F13" s="19">
        <v>1000</v>
      </c>
      <c r="G13" s="18">
        <v>6.35</v>
      </c>
      <c r="H13" s="9">
        <f t="shared" si="3"/>
        <v>6.3499999999999997E-3</v>
      </c>
      <c r="I13" s="8">
        <f t="shared" si="0"/>
        <v>0.63500000000000001</v>
      </c>
      <c r="J13" s="2">
        <f t="shared" si="1"/>
        <v>15</v>
      </c>
      <c r="K13" s="2">
        <f t="shared" si="2"/>
        <v>0.25</v>
      </c>
      <c r="L13" s="22">
        <v>15</v>
      </c>
      <c r="M13" s="22">
        <v>25</v>
      </c>
      <c r="N13" s="22">
        <v>95</v>
      </c>
      <c r="O13" s="22"/>
      <c r="P13" s="22"/>
      <c r="Q13" s="22"/>
      <c r="R13" t="s">
        <v>27</v>
      </c>
      <c r="S13">
        <f t="shared" si="4"/>
        <v>1</v>
      </c>
    </row>
    <row r="14" spans="1:19">
      <c r="A14" t="s">
        <v>28</v>
      </c>
      <c r="B14" s="2">
        <v>0</v>
      </c>
      <c r="C14">
        <f>B14*N14/100</f>
        <v>0</v>
      </c>
      <c r="E14">
        <f t="shared" si="5"/>
        <v>0</v>
      </c>
      <c r="F14" s="19">
        <v>1000</v>
      </c>
      <c r="G14" s="18">
        <v>18.600000000000001</v>
      </c>
      <c r="H14" s="9">
        <f t="shared" si="3"/>
        <v>1.8600000000000002E-2</v>
      </c>
      <c r="I14" s="8">
        <f t="shared" si="0"/>
        <v>0</v>
      </c>
      <c r="J14" s="2">
        <f t="shared" si="1"/>
        <v>0</v>
      </c>
      <c r="K14" s="2">
        <f t="shared" si="2"/>
        <v>0</v>
      </c>
      <c r="L14" s="22">
        <v>60</v>
      </c>
      <c r="M14" s="22">
        <v>25</v>
      </c>
      <c r="N14" s="22">
        <v>96</v>
      </c>
      <c r="O14" s="22"/>
      <c r="P14" s="22"/>
      <c r="Q14" s="22"/>
      <c r="R14" t="s">
        <v>28</v>
      </c>
      <c r="S14">
        <f t="shared" si="4"/>
        <v>0</v>
      </c>
    </row>
    <row r="15" spans="1:19">
      <c r="A15" t="s">
        <v>29</v>
      </c>
      <c r="B15" s="2">
        <f>E15</f>
        <v>1421.5</v>
      </c>
      <c r="C15">
        <f>E15</f>
        <v>1421.5</v>
      </c>
      <c r="E15">
        <f>$B$3-SUM(E5:E14)</f>
        <v>1421.5</v>
      </c>
      <c r="F15" s="19">
        <v>5000</v>
      </c>
      <c r="G15" s="18">
        <v>5.8</v>
      </c>
      <c r="H15" s="9">
        <f t="shared" si="3"/>
        <v>1.16E-3</v>
      </c>
      <c r="I15" s="8">
        <f t="shared" si="0"/>
        <v>1.6489400000000001</v>
      </c>
      <c r="J15" s="2">
        <f t="shared" si="1"/>
        <v>1421.5</v>
      </c>
      <c r="K15" s="2">
        <f t="shared" si="2"/>
        <v>14.215</v>
      </c>
      <c r="L15" s="22">
        <v>100</v>
      </c>
      <c r="M15" s="22">
        <v>100</v>
      </c>
      <c r="N15" s="22">
        <v>100</v>
      </c>
      <c r="R15" t="s">
        <v>29</v>
      </c>
      <c r="S15">
        <f t="shared" si="4"/>
        <v>14.215</v>
      </c>
    </row>
    <row r="16" spans="1:19">
      <c r="A16" t="s">
        <v>30</v>
      </c>
      <c r="B16" s="2">
        <f>$B$1-SUM(B5:B15)</f>
        <v>3978.5</v>
      </c>
      <c r="F16" s="19">
        <v>1</v>
      </c>
      <c r="G16" s="18">
        <v>0</v>
      </c>
      <c r="H16" s="9">
        <f t="shared" si="3"/>
        <v>0</v>
      </c>
      <c r="I16" s="8">
        <f t="shared" si="0"/>
        <v>0</v>
      </c>
      <c r="J16" s="2">
        <f t="shared" si="1"/>
        <v>0</v>
      </c>
      <c r="K16" s="2">
        <f t="shared" si="2"/>
        <v>0</v>
      </c>
      <c r="L16" s="1"/>
      <c r="M16" s="1"/>
      <c r="N16" s="1"/>
      <c r="R16" t="s">
        <v>30</v>
      </c>
      <c r="S16">
        <f t="shared" si="4"/>
        <v>39.784999999999997</v>
      </c>
    </row>
    <row r="17" spans="1:19" s="11" customFormat="1" ht="16.5" customHeight="1">
      <c r="A17" s="11" t="s">
        <v>31</v>
      </c>
      <c r="B17" s="20">
        <f>SUM(B5:B16)</f>
        <v>10000</v>
      </c>
      <c r="C17" s="20">
        <f>SUM(C5:C16)</f>
        <v>2550</v>
      </c>
      <c r="D17" s="20">
        <f>SUM(D5:D16)</f>
        <v>50</v>
      </c>
      <c r="E17" s="20">
        <f>SUM(E5:E16)</f>
        <v>2600</v>
      </c>
      <c r="G17" s="12"/>
      <c r="H17" s="13"/>
      <c r="I17" s="12">
        <f>SUM(I5:I16)</f>
        <v>64.421440000000004</v>
      </c>
      <c r="J17" s="39">
        <f>SUMIF(J5:J16,"&lt;&gt;#div/0!")</f>
        <v>2120.5</v>
      </c>
      <c r="K17" s="39">
        <f>SUMIF(K5:K16,"&lt;&gt;#div/0!")</f>
        <v>25.164999999999999</v>
      </c>
      <c r="M17" s="24"/>
      <c r="N17" s="25"/>
      <c r="R17" s="11" t="s">
        <v>31</v>
      </c>
      <c r="S17">
        <f t="shared" si="4"/>
        <v>100</v>
      </c>
    </row>
    <row r="18" spans="1:19">
      <c r="A18" s="7" t="s">
        <v>32</v>
      </c>
      <c r="B18" s="10">
        <f>I17/B17*1000</f>
        <v>6.4421440000000008</v>
      </c>
      <c r="G18" t="s">
        <v>33</v>
      </c>
      <c r="H18" s="8"/>
      <c r="I18" s="8"/>
      <c r="J18" s="8"/>
      <c r="K18" s="2">
        <f>-K17/2.5</f>
        <v>-10.065999999999999</v>
      </c>
      <c r="L18" s="25" t="s">
        <v>34</v>
      </c>
      <c r="M18" s="26"/>
      <c r="N18" s="25"/>
    </row>
    <row r="19" spans="1:19">
      <c r="J19">
        <v>2353</v>
      </c>
      <c r="L19" s="25"/>
      <c r="M19" s="27"/>
      <c r="N19" s="25"/>
    </row>
    <row r="20" spans="1:19">
      <c r="B20" s="6"/>
      <c r="L20" s="25"/>
      <c r="M20" s="27"/>
      <c r="N20" s="25"/>
    </row>
    <row r="21" spans="1:19">
      <c r="B21" s="8"/>
      <c r="L21" s="25"/>
      <c r="M21" s="27"/>
      <c r="N21" s="25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40"/>
  <sheetViews>
    <sheetView tabSelected="1"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V11" sqref="V11"/>
    </sheetView>
  </sheetViews>
  <sheetFormatPr defaultRowHeight="14.4"/>
  <cols>
    <col min="1" max="1" width="21.6640625" customWidth="1"/>
    <col min="2" max="2" width="10.6640625" customWidth="1"/>
    <col min="3" max="3" width="10" customWidth="1"/>
    <col min="4" max="4" width="9.6640625" customWidth="1"/>
    <col min="5" max="5" width="11" customWidth="1"/>
    <col min="6" max="6" width="11" bestFit="1" customWidth="1"/>
    <col min="7" max="7" width="10.6640625" customWidth="1"/>
    <col min="8" max="8" width="9.5546875" customWidth="1"/>
    <col min="9" max="9" width="11.77734375" customWidth="1"/>
    <col min="10" max="10" width="12" customWidth="1"/>
    <col min="11" max="11" width="12.109375" customWidth="1"/>
    <col min="12" max="12" width="10" customWidth="1"/>
    <col min="13" max="13" width="15.5546875" customWidth="1"/>
    <col min="14" max="14" width="10.6640625" hidden="1" customWidth="1"/>
    <col min="15" max="15" width="12.6640625" hidden="1" customWidth="1"/>
    <col min="16" max="16" width="9.6640625" customWidth="1"/>
    <col min="17" max="17" width="7.44140625" customWidth="1"/>
    <col min="18" max="18" width="6.44140625" customWidth="1"/>
    <col min="19" max="19" width="6.33203125" customWidth="1"/>
    <col min="20" max="20" width="7.77734375" customWidth="1"/>
    <col min="21" max="21" width="6.5546875" customWidth="1"/>
    <col min="22" max="22" width="8.44140625" customWidth="1"/>
    <col min="23" max="23" width="14.6640625" hidden="1" customWidth="1"/>
    <col min="24" max="24" width="14.44140625" hidden="1" customWidth="1"/>
    <col min="25" max="25" width="20.33203125" customWidth="1"/>
    <col min="26" max="26" width="14.6640625" customWidth="1"/>
    <col min="28" max="28" width="11.88671875" bestFit="1" customWidth="1"/>
    <col min="29" max="29" width="12.88671875" bestFit="1" customWidth="1"/>
    <col min="30" max="30" width="11.5546875" customWidth="1"/>
  </cols>
  <sheetData>
    <row r="1" spans="1:33">
      <c r="C1" t="s">
        <v>35</v>
      </c>
      <c r="D1" t="s">
        <v>36</v>
      </c>
      <c r="E1" t="s">
        <v>29</v>
      </c>
      <c r="F1" t="s">
        <v>37</v>
      </c>
      <c r="G1" t="s">
        <v>38</v>
      </c>
      <c r="J1" s="85"/>
      <c r="K1" s="85"/>
      <c r="L1" s="85"/>
      <c r="AC1">
        <v>7.54</v>
      </c>
    </row>
    <row r="2" spans="1:33" ht="21">
      <c r="A2" s="43" t="s">
        <v>39</v>
      </c>
      <c r="B2" s="5">
        <v>10000</v>
      </c>
      <c r="C2" s="5"/>
      <c r="D2" s="5"/>
      <c r="E2" s="5"/>
      <c r="F2" s="5"/>
      <c r="J2" s="85"/>
      <c r="K2" s="85"/>
      <c r="L2" s="85"/>
      <c r="Y2" t="s">
        <v>40</v>
      </c>
      <c r="Z2">
        <v>2</v>
      </c>
      <c r="AA2">
        <f>Z7*Z2</f>
        <v>26</v>
      </c>
      <c r="AC2">
        <v>7.18</v>
      </c>
    </row>
    <row r="3" spans="1:33" ht="21">
      <c r="A3" s="43" t="s">
        <v>41</v>
      </c>
      <c r="B3" s="5"/>
      <c r="C3" s="5">
        <v>13</v>
      </c>
      <c r="D3" s="5">
        <v>12</v>
      </c>
      <c r="E3" s="5">
        <v>22</v>
      </c>
      <c r="F3" s="5">
        <f>SUM(C3:E3)</f>
        <v>47</v>
      </c>
      <c r="G3" s="5">
        <v>16.399999999999999</v>
      </c>
      <c r="J3" s="85"/>
      <c r="K3" s="85"/>
      <c r="L3" s="85"/>
      <c r="Y3" t="s">
        <v>42</v>
      </c>
      <c r="Z3">
        <f>Z7*0.65</f>
        <v>8.4500000000000011</v>
      </c>
      <c r="AA3">
        <f>Z3/2</f>
        <v>4.2250000000000005</v>
      </c>
    </row>
    <row r="4" spans="1:33" ht="21">
      <c r="A4" s="43" t="s">
        <v>43</v>
      </c>
      <c r="B4" s="5"/>
      <c r="C4" s="5">
        <f>C3*$B$2/100</f>
        <v>1300</v>
      </c>
      <c r="D4" s="5">
        <f>D3*$B$2/100</f>
        <v>1200</v>
      </c>
      <c r="E4" s="5">
        <f>E3*$B$2/100</f>
        <v>2200</v>
      </c>
      <c r="F4" s="5">
        <f>B2*F3/100</f>
        <v>4700</v>
      </c>
      <c r="G4">
        <f>B2*G3/100</f>
        <v>1640</v>
      </c>
      <c r="J4" s="85"/>
      <c r="K4" s="85"/>
      <c r="L4" s="85"/>
    </row>
    <row r="5" spans="1:33" hidden="1">
      <c r="J5" s="25"/>
      <c r="K5" s="25"/>
      <c r="L5" s="25"/>
      <c r="M5" s="25"/>
    </row>
    <row r="6" spans="1:33" s="1" customFormat="1" ht="44.25" customHeight="1">
      <c r="A6" s="46">
        <f>B29</f>
        <v>12.104676</v>
      </c>
      <c r="B6" s="1" t="s">
        <v>44</v>
      </c>
      <c r="C6" s="1" t="s">
        <v>45</v>
      </c>
      <c r="D6" s="1" t="s">
        <v>46</v>
      </c>
      <c r="E6" s="1" t="s">
        <v>5</v>
      </c>
      <c r="F6" s="1" t="s">
        <v>12</v>
      </c>
      <c r="G6" s="1" t="s">
        <v>47</v>
      </c>
      <c r="H6" s="1" t="s">
        <v>48</v>
      </c>
      <c r="I6" s="28" t="s">
        <v>8</v>
      </c>
      <c r="J6" s="28" t="s">
        <v>9</v>
      </c>
      <c r="K6" s="28" t="s">
        <v>10</v>
      </c>
      <c r="L6" s="28" t="s">
        <v>11</v>
      </c>
      <c r="M6" s="21" t="s">
        <v>49</v>
      </c>
      <c r="N6" s="21" t="s">
        <v>50</v>
      </c>
      <c r="O6" s="21" t="s">
        <v>51</v>
      </c>
      <c r="P6" s="21" t="s">
        <v>17</v>
      </c>
      <c r="Q6" s="21" t="s">
        <v>18</v>
      </c>
      <c r="R6" s="21" t="s">
        <v>16</v>
      </c>
      <c r="S6" s="21" t="s">
        <v>52</v>
      </c>
      <c r="T6" s="21" t="s">
        <v>53</v>
      </c>
      <c r="U6" s="21" t="s">
        <v>14</v>
      </c>
      <c r="V6" s="21" t="s">
        <v>15</v>
      </c>
      <c r="X6" s="1" t="s">
        <v>54</v>
      </c>
      <c r="Z6" s="54">
        <f>B37*Z7/2</f>
        <v>95.946018999999993</v>
      </c>
    </row>
    <row r="7" spans="1:33" ht="24.6" customHeight="1">
      <c r="A7" s="7"/>
      <c r="I7" s="25"/>
      <c r="R7" s="22"/>
      <c r="S7" s="22"/>
      <c r="T7" s="22"/>
      <c r="U7" s="22"/>
      <c r="V7" s="22"/>
      <c r="Y7" s="44" t="s">
        <v>55</v>
      </c>
      <c r="Z7" s="42">
        <v>13</v>
      </c>
    </row>
    <row r="8" spans="1:33" ht="16.2" customHeight="1">
      <c r="A8" t="s">
        <v>56</v>
      </c>
      <c r="B8">
        <v>0</v>
      </c>
      <c r="C8" s="2">
        <f t="shared" ref="C8:C23" si="0">B8*Q8/100</f>
        <v>0</v>
      </c>
      <c r="D8" s="2">
        <f t="shared" ref="D8:D23" si="1">B8*P8/100</f>
        <v>0</v>
      </c>
      <c r="E8" s="2">
        <f t="shared" ref="E8:E23" si="2">B8*S8/100</f>
        <v>0</v>
      </c>
      <c r="F8" s="2">
        <f t="shared" ref="F8:F25" si="3">B8*U8/100</f>
        <v>0</v>
      </c>
      <c r="G8">
        <f t="shared" ref="G8:G23" si="4">B8*R8/100</f>
        <v>0</v>
      </c>
      <c r="H8" s="2">
        <f>E8*V8/100</f>
        <v>0</v>
      </c>
      <c r="I8" s="25">
        <v>1500</v>
      </c>
      <c r="J8" s="29">
        <v>35</v>
      </c>
      <c r="K8" s="30">
        <f>J8/I8</f>
        <v>2.3333333333333334E-2</v>
      </c>
      <c r="L8" s="29">
        <f t="shared" ref="L8:L26" si="5">K8*B8</f>
        <v>0</v>
      </c>
      <c r="M8" s="22" t="str">
        <f t="shared" ref="M8:M23" si="6">A8</f>
        <v>creme cheese</v>
      </c>
      <c r="N8" s="22"/>
      <c r="O8" s="22"/>
      <c r="P8" s="22">
        <v>5.33</v>
      </c>
      <c r="Q8" s="22">
        <v>27</v>
      </c>
      <c r="R8" s="22">
        <v>36</v>
      </c>
      <c r="S8" s="22">
        <v>3.66</v>
      </c>
      <c r="T8" s="22"/>
      <c r="U8" s="62">
        <v>0</v>
      </c>
      <c r="V8" s="22"/>
      <c r="Y8" s="45" t="s">
        <v>56</v>
      </c>
      <c r="Z8" s="40">
        <f>B8*($Z$7/10)</f>
        <v>0</v>
      </c>
    </row>
    <row r="9" spans="1:33" s="64" customFormat="1" ht="16.8" customHeight="1">
      <c r="A9" s="55" t="s">
        <v>57</v>
      </c>
      <c r="B9" s="55">
        <v>0</v>
      </c>
      <c r="C9" s="57">
        <f t="shared" si="0"/>
        <v>0</v>
      </c>
      <c r="D9" s="57">
        <f t="shared" si="1"/>
        <v>0</v>
      </c>
      <c r="E9" s="57">
        <f t="shared" si="2"/>
        <v>0</v>
      </c>
      <c r="F9" s="57">
        <f t="shared" si="3"/>
        <v>0</v>
      </c>
      <c r="G9" s="55">
        <f t="shared" si="4"/>
        <v>0</v>
      </c>
      <c r="H9" s="57">
        <f>B9*S9/100*V9/100/$B$27*100</f>
        <v>0</v>
      </c>
      <c r="I9" s="58">
        <v>1000</v>
      </c>
      <c r="J9" s="61">
        <v>67</v>
      </c>
      <c r="K9" s="60">
        <f t="shared" ref="K9:K26" si="7">J9/I9</f>
        <v>6.7000000000000004E-2</v>
      </c>
      <c r="L9" s="61">
        <f t="shared" si="5"/>
        <v>0</v>
      </c>
      <c r="M9" s="62" t="str">
        <f t="shared" si="6"/>
        <v>LPI</v>
      </c>
      <c r="N9" s="62" t="s">
        <v>58</v>
      </c>
      <c r="O9" s="62">
        <f>100-P9-Q9</f>
        <v>4.6999999999999993</v>
      </c>
      <c r="P9" s="62">
        <v>68</v>
      </c>
      <c r="Q9" s="62">
        <v>27.3</v>
      </c>
      <c r="R9" s="62">
        <v>96</v>
      </c>
      <c r="S9" s="62">
        <v>0</v>
      </c>
      <c r="T9" s="62"/>
      <c r="U9" s="62">
        <v>0</v>
      </c>
      <c r="V9" s="62">
        <v>0</v>
      </c>
      <c r="W9" s="55"/>
      <c r="X9" s="55"/>
      <c r="Y9" s="83" t="s">
        <v>59</v>
      </c>
      <c r="Z9" s="55">
        <f>B9*($Z$7)*1/10</f>
        <v>0</v>
      </c>
    </row>
    <row r="10" spans="1:33" ht="15.6">
      <c r="A10" s="55" t="s">
        <v>60</v>
      </c>
      <c r="B10" s="55">
        <v>729</v>
      </c>
      <c r="C10" s="56">
        <f t="shared" si="0"/>
        <v>0</v>
      </c>
      <c r="D10" s="56">
        <f t="shared" si="1"/>
        <v>707.13</v>
      </c>
      <c r="E10" s="56">
        <f t="shared" si="2"/>
        <v>0</v>
      </c>
      <c r="F10" s="56">
        <f t="shared" si="3"/>
        <v>0</v>
      </c>
      <c r="G10" s="55">
        <f t="shared" si="4"/>
        <v>707.13</v>
      </c>
      <c r="H10" s="57">
        <f>D27*V10/100/$B$27*100</f>
        <v>6.0013453999999999</v>
      </c>
      <c r="I10" s="58">
        <v>1000</v>
      </c>
      <c r="J10" s="59">
        <v>35</v>
      </c>
      <c r="K10" s="60">
        <f t="shared" si="7"/>
        <v>3.5000000000000003E-2</v>
      </c>
      <c r="L10" s="61">
        <f t="shared" si="5"/>
        <v>25.515000000000004</v>
      </c>
      <c r="M10" s="62" t="str">
        <f t="shared" si="6"/>
        <v>LPD</v>
      </c>
      <c r="N10" s="62"/>
      <c r="O10" s="62">
        <f>100-P10-Q10</f>
        <v>3</v>
      </c>
      <c r="P10" s="62">
        <v>97</v>
      </c>
      <c r="Q10" s="62">
        <v>0</v>
      </c>
      <c r="R10" s="62">
        <v>97</v>
      </c>
      <c r="S10" s="62">
        <v>0</v>
      </c>
      <c r="T10" s="62"/>
      <c r="U10" s="62">
        <v>0</v>
      </c>
      <c r="V10" s="62">
        <v>50</v>
      </c>
      <c r="W10" s="55"/>
      <c r="X10" s="55"/>
      <c r="Y10" s="63" t="str">
        <f>A10</f>
        <v>LPD</v>
      </c>
      <c r="Z10" s="56">
        <f t="shared" ref="Z10:Z27" si="8">B10*($Z$7)*1/10</f>
        <v>947.7</v>
      </c>
      <c r="AA10" s="64"/>
      <c r="AB10" s="65">
        <v>30</v>
      </c>
      <c r="AC10" s="66">
        <v>6.8999999999999999E-3</v>
      </c>
      <c r="AD10" s="67">
        <f>AB10/AC10</f>
        <v>4347.826086956522</v>
      </c>
      <c r="AE10" s="64"/>
      <c r="AF10" s="64"/>
      <c r="AG10" s="64"/>
    </row>
    <row r="11" spans="1:33" ht="18.600000000000001" customHeight="1">
      <c r="A11" s="55" t="s">
        <v>61</v>
      </c>
      <c r="B11" s="55">
        <v>0</v>
      </c>
      <c r="C11" s="57">
        <f t="shared" si="0"/>
        <v>0</v>
      </c>
      <c r="D11" s="57">
        <f t="shared" si="1"/>
        <v>0</v>
      </c>
      <c r="E11" s="56">
        <f t="shared" si="2"/>
        <v>0</v>
      </c>
      <c r="F11" s="56">
        <f t="shared" si="3"/>
        <v>0</v>
      </c>
      <c r="G11" s="55">
        <f t="shared" si="4"/>
        <v>0</v>
      </c>
      <c r="H11" s="57">
        <f t="shared" ref="H11:H25" si="9">B11*V11/100/$B$27*100</f>
        <v>0</v>
      </c>
      <c r="I11" s="58">
        <v>1000</v>
      </c>
      <c r="J11" s="59">
        <v>33</v>
      </c>
      <c r="K11" s="60">
        <f t="shared" si="7"/>
        <v>3.3000000000000002E-2</v>
      </c>
      <c r="L11" s="61">
        <f t="shared" si="5"/>
        <v>0</v>
      </c>
      <c r="M11" s="62" t="str">
        <f t="shared" si="6"/>
        <v>leite de coco</v>
      </c>
      <c r="N11" s="62"/>
      <c r="O11" s="62"/>
      <c r="P11" s="62">
        <v>0</v>
      </c>
      <c r="Q11" s="62">
        <v>0</v>
      </c>
      <c r="R11" s="62">
        <v>0</v>
      </c>
      <c r="S11" s="62">
        <v>0</v>
      </c>
      <c r="T11" s="62"/>
      <c r="U11" s="62">
        <v>0</v>
      </c>
      <c r="V11" s="62"/>
      <c r="W11" s="55"/>
      <c r="X11" s="55"/>
      <c r="Y11" s="63" t="str">
        <f t="shared" ref="Y11:Y27" si="10">A11</f>
        <v>leite de coco</v>
      </c>
      <c r="Z11" s="56">
        <f t="shared" si="8"/>
        <v>0</v>
      </c>
      <c r="AA11" s="64"/>
      <c r="AB11" s="65">
        <v>31</v>
      </c>
      <c r="AC11" s="66">
        <v>1.0068999999999999</v>
      </c>
      <c r="AD11" s="67">
        <f t="shared" ref="AD11:AD19" si="11">AB11/AC11</f>
        <v>30.787565796007552</v>
      </c>
      <c r="AE11" s="64"/>
      <c r="AF11" s="64"/>
      <c r="AG11" s="64"/>
    </row>
    <row r="12" spans="1:33" ht="15.6" customHeight="1">
      <c r="A12" s="55" t="s">
        <v>62</v>
      </c>
      <c r="B12" s="55">
        <v>0</v>
      </c>
      <c r="C12" s="57">
        <f t="shared" si="0"/>
        <v>0</v>
      </c>
      <c r="D12" s="57">
        <f t="shared" si="1"/>
        <v>0</v>
      </c>
      <c r="E12" s="56">
        <f t="shared" si="2"/>
        <v>0</v>
      </c>
      <c r="F12" s="56">
        <f t="shared" si="3"/>
        <v>0</v>
      </c>
      <c r="G12" s="55">
        <f t="shared" si="4"/>
        <v>0</v>
      </c>
      <c r="H12" s="57">
        <f t="shared" si="9"/>
        <v>0</v>
      </c>
      <c r="I12" s="58">
        <v>1000</v>
      </c>
      <c r="J12" s="59">
        <v>35</v>
      </c>
      <c r="K12" s="60">
        <f t="shared" si="7"/>
        <v>3.5000000000000003E-2</v>
      </c>
      <c r="L12" s="61">
        <f t="shared" si="5"/>
        <v>0</v>
      </c>
      <c r="M12" s="62" t="str">
        <f t="shared" si="6"/>
        <v>leite condensado</v>
      </c>
      <c r="N12" s="62"/>
      <c r="O12" s="62"/>
      <c r="P12" s="62">
        <v>7</v>
      </c>
      <c r="Q12" s="62">
        <v>8</v>
      </c>
      <c r="R12" s="62">
        <v>55</v>
      </c>
      <c r="S12" s="62">
        <v>55</v>
      </c>
      <c r="T12" s="62"/>
      <c r="U12" s="62">
        <v>49</v>
      </c>
      <c r="V12" s="62">
        <f>S12*100/100</f>
        <v>55</v>
      </c>
      <c r="W12" s="55"/>
      <c r="X12" s="55"/>
      <c r="Y12" s="63" t="str">
        <f t="shared" si="10"/>
        <v>leite condensado</v>
      </c>
      <c r="Z12" s="56">
        <f t="shared" si="8"/>
        <v>0</v>
      </c>
      <c r="AA12" s="64"/>
      <c r="AB12" s="65">
        <v>32</v>
      </c>
      <c r="AC12" s="66">
        <v>2.0068999999999999</v>
      </c>
      <c r="AD12" s="67">
        <f t="shared" si="11"/>
        <v>15.944989785240919</v>
      </c>
      <c r="AE12" s="64"/>
      <c r="AF12" s="64"/>
      <c r="AG12" s="64"/>
    </row>
    <row r="13" spans="1:33" ht="15.6">
      <c r="A13" s="55" t="s">
        <v>63</v>
      </c>
      <c r="B13" s="55">
        <v>1148</v>
      </c>
      <c r="C13" s="56">
        <f t="shared" si="0"/>
        <v>711.76</v>
      </c>
      <c r="D13" s="56">
        <f t="shared" si="1"/>
        <v>40.18</v>
      </c>
      <c r="E13" s="56">
        <f t="shared" si="2"/>
        <v>0</v>
      </c>
      <c r="F13" s="56">
        <f t="shared" si="3"/>
        <v>0</v>
      </c>
      <c r="G13" s="55">
        <f t="shared" si="4"/>
        <v>838.04</v>
      </c>
      <c r="H13" s="57">
        <f t="shared" si="9"/>
        <v>0</v>
      </c>
      <c r="I13" s="58">
        <v>1000</v>
      </c>
      <c r="J13" s="59">
        <v>30</v>
      </c>
      <c r="K13" s="60">
        <f>J13/I13</f>
        <v>0.03</v>
      </c>
      <c r="L13" s="61">
        <f t="shared" si="5"/>
        <v>34.44</v>
      </c>
      <c r="M13" s="62" t="str">
        <f t="shared" si="6"/>
        <v>crème 68%</v>
      </c>
      <c r="N13" s="62"/>
      <c r="O13" s="62">
        <f>100-P13-Q13</f>
        <v>34.5</v>
      </c>
      <c r="P13" s="62">
        <v>3.5</v>
      </c>
      <c r="Q13" s="62">
        <v>62</v>
      </c>
      <c r="R13" s="62">
        <v>73</v>
      </c>
      <c r="S13" s="62"/>
      <c r="T13" s="62"/>
      <c r="U13" s="62">
        <v>0</v>
      </c>
      <c r="V13" s="62">
        <v>0</v>
      </c>
      <c r="W13" s="55"/>
      <c r="X13" s="55"/>
      <c r="Y13" s="63" t="str">
        <f t="shared" si="10"/>
        <v>crème 68%</v>
      </c>
      <c r="Z13" s="56">
        <f t="shared" si="8"/>
        <v>1492.4</v>
      </c>
      <c r="AA13" s="64"/>
      <c r="AB13" s="65">
        <v>20</v>
      </c>
      <c r="AC13" s="66">
        <v>6.7999999999999996E-3</v>
      </c>
      <c r="AD13" s="67">
        <f t="shared" si="11"/>
        <v>2941.1764705882356</v>
      </c>
      <c r="AE13" s="64"/>
      <c r="AF13" s="64"/>
      <c r="AG13" s="64"/>
    </row>
    <row r="14" spans="1:33" ht="15.6" hidden="1">
      <c r="A14" s="55" t="s">
        <v>64</v>
      </c>
      <c r="B14" s="55">
        <v>0</v>
      </c>
      <c r="C14" s="57">
        <f t="shared" si="0"/>
        <v>0</v>
      </c>
      <c r="D14" s="57">
        <f t="shared" si="1"/>
        <v>0</v>
      </c>
      <c r="E14" s="57">
        <f t="shared" si="2"/>
        <v>0</v>
      </c>
      <c r="F14" s="57">
        <f t="shared" si="3"/>
        <v>0</v>
      </c>
      <c r="G14" s="55">
        <f t="shared" si="4"/>
        <v>0</v>
      </c>
      <c r="H14" s="57">
        <f t="shared" si="9"/>
        <v>0</v>
      </c>
      <c r="I14" s="58">
        <v>1000</v>
      </c>
      <c r="J14" s="59">
        <v>23</v>
      </c>
      <c r="K14" s="60">
        <f t="shared" si="7"/>
        <v>2.3E-2</v>
      </c>
      <c r="L14" s="61">
        <f t="shared" si="5"/>
        <v>0</v>
      </c>
      <c r="M14" s="62" t="str">
        <f t="shared" si="6"/>
        <v>Chocolate (50%)</v>
      </c>
      <c r="N14" s="62"/>
      <c r="O14" s="62"/>
      <c r="P14" s="62">
        <v>12.5</v>
      </c>
      <c r="Q14" s="62">
        <v>6</v>
      </c>
      <c r="R14" s="62">
        <v>100</v>
      </c>
      <c r="S14" s="62">
        <v>60</v>
      </c>
      <c r="T14" s="62"/>
      <c r="U14" s="62">
        <v>0</v>
      </c>
      <c r="V14" s="62">
        <f>S14*100/100</f>
        <v>60</v>
      </c>
      <c r="W14" s="55"/>
      <c r="X14" s="55"/>
      <c r="Y14" s="63" t="str">
        <f t="shared" si="10"/>
        <v>Chocolate (50%)</v>
      </c>
      <c r="Z14" s="55">
        <f t="shared" si="8"/>
        <v>0</v>
      </c>
      <c r="AA14" s="64"/>
      <c r="AB14" s="65">
        <v>34</v>
      </c>
      <c r="AC14" s="66">
        <v>4.0068999999999999</v>
      </c>
      <c r="AD14" s="67">
        <f t="shared" si="11"/>
        <v>8.485362749257531</v>
      </c>
      <c r="AE14" s="64"/>
      <c r="AF14" s="64"/>
      <c r="AG14" s="64"/>
    </row>
    <row r="15" spans="1:33" ht="15.6" hidden="1">
      <c r="A15" s="55" t="s">
        <v>65</v>
      </c>
      <c r="B15" s="55">
        <v>0</v>
      </c>
      <c r="C15" s="57">
        <f t="shared" si="0"/>
        <v>0</v>
      </c>
      <c r="D15" s="57">
        <f t="shared" si="1"/>
        <v>0</v>
      </c>
      <c r="E15" s="57">
        <f t="shared" si="2"/>
        <v>0</v>
      </c>
      <c r="F15" s="57">
        <f t="shared" si="3"/>
        <v>0</v>
      </c>
      <c r="G15" s="55">
        <f t="shared" si="4"/>
        <v>0</v>
      </c>
      <c r="H15" s="57">
        <f t="shared" si="9"/>
        <v>0</v>
      </c>
      <c r="I15" s="58">
        <v>1000</v>
      </c>
      <c r="J15" s="59">
        <v>25</v>
      </c>
      <c r="K15" s="60">
        <f t="shared" si="7"/>
        <v>2.5000000000000001E-2</v>
      </c>
      <c r="L15" s="61">
        <f t="shared" si="5"/>
        <v>0</v>
      </c>
      <c r="M15" s="62" t="str">
        <f t="shared" si="6"/>
        <v>cacau 100%</v>
      </c>
      <c r="N15" s="62"/>
      <c r="O15" s="62"/>
      <c r="P15" s="62">
        <v>0</v>
      </c>
      <c r="Q15" s="62">
        <v>11</v>
      </c>
      <c r="R15" s="62">
        <v>100</v>
      </c>
      <c r="S15" s="62"/>
      <c r="T15" s="62"/>
      <c r="U15" s="62">
        <v>0</v>
      </c>
      <c r="V15" s="62"/>
      <c r="W15" s="55"/>
      <c r="X15" s="55"/>
      <c r="Y15" s="63" t="str">
        <f t="shared" si="10"/>
        <v>cacau 100%</v>
      </c>
      <c r="Z15" s="55">
        <f t="shared" si="8"/>
        <v>0</v>
      </c>
      <c r="AA15" s="64"/>
      <c r="AB15" s="65">
        <v>35</v>
      </c>
      <c r="AC15" s="66">
        <v>5.0068999999999999</v>
      </c>
      <c r="AD15" s="67">
        <f t="shared" si="11"/>
        <v>6.9903533124288479</v>
      </c>
      <c r="AE15" s="64"/>
      <c r="AF15" s="64"/>
      <c r="AG15" s="64"/>
    </row>
    <row r="16" spans="1:33" ht="15.6" hidden="1">
      <c r="A16" s="55" t="s">
        <v>66</v>
      </c>
      <c r="B16" s="55">
        <v>0</v>
      </c>
      <c r="C16" s="57">
        <f t="shared" si="0"/>
        <v>0</v>
      </c>
      <c r="D16" s="57">
        <f t="shared" si="1"/>
        <v>0</v>
      </c>
      <c r="E16" s="57">
        <f t="shared" si="2"/>
        <v>0</v>
      </c>
      <c r="F16" s="57">
        <f t="shared" si="3"/>
        <v>0</v>
      </c>
      <c r="G16" s="55">
        <f t="shared" si="4"/>
        <v>0</v>
      </c>
      <c r="H16" s="57">
        <f t="shared" si="9"/>
        <v>0</v>
      </c>
      <c r="I16" s="58">
        <v>420</v>
      </c>
      <c r="J16" s="59">
        <v>8.5</v>
      </c>
      <c r="K16" s="60">
        <f t="shared" si="7"/>
        <v>2.0238095238095239E-2</v>
      </c>
      <c r="L16" s="61">
        <f t="shared" si="5"/>
        <v>0</v>
      </c>
      <c r="M16" s="62" t="str">
        <f t="shared" si="6"/>
        <v>gema de ovo</v>
      </c>
      <c r="N16" s="62"/>
      <c r="O16" s="62">
        <v>50</v>
      </c>
      <c r="P16" s="62"/>
      <c r="Q16" s="62">
        <v>32</v>
      </c>
      <c r="R16" s="62">
        <v>50</v>
      </c>
      <c r="S16" s="62"/>
      <c r="T16" s="62">
        <v>18</v>
      </c>
      <c r="U16" s="62">
        <v>0</v>
      </c>
      <c r="V16" s="62"/>
      <c r="W16" s="55"/>
      <c r="X16" s="55"/>
      <c r="Y16" s="63" t="str">
        <f t="shared" si="10"/>
        <v>gema de ovo</v>
      </c>
      <c r="Z16" s="55">
        <f t="shared" si="8"/>
        <v>0</v>
      </c>
      <c r="AA16" s="64"/>
      <c r="AB16" s="65">
        <v>36</v>
      </c>
      <c r="AC16" s="66">
        <v>6.0068999999999999</v>
      </c>
      <c r="AD16" s="67">
        <f t="shared" si="11"/>
        <v>5.9931079258852318</v>
      </c>
      <c r="AE16" s="64"/>
      <c r="AF16" s="64"/>
      <c r="AG16" s="64"/>
    </row>
    <row r="17" spans="1:33" ht="15.6" hidden="1">
      <c r="A17" s="55" t="s">
        <v>67</v>
      </c>
      <c r="B17" s="55">
        <v>0</v>
      </c>
      <c r="C17" s="57">
        <f t="shared" si="0"/>
        <v>0</v>
      </c>
      <c r="D17" s="57">
        <f t="shared" si="1"/>
        <v>0</v>
      </c>
      <c r="E17" s="57">
        <f t="shared" si="2"/>
        <v>0</v>
      </c>
      <c r="F17" s="57">
        <f t="shared" si="3"/>
        <v>0</v>
      </c>
      <c r="G17" s="55">
        <f t="shared" si="4"/>
        <v>0</v>
      </c>
      <c r="H17" s="57">
        <f t="shared" si="9"/>
        <v>0</v>
      </c>
      <c r="I17" s="58">
        <v>1000</v>
      </c>
      <c r="J17" s="59">
        <v>20</v>
      </c>
      <c r="K17" s="60">
        <f t="shared" si="7"/>
        <v>0.02</v>
      </c>
      <c r="L17" s="61">
        <f t="shared" si="5"/>
        <v>0</v>
      </c>
      <c r="M17" s="62" t="str">
        <f t="shared" si="6"/>
        <v>pasta amendoim</v>
      </c>
      <c r="N17" s="62"/>
      <c r="O17" s="62"/>
      <c r="P17" s="62"/>
      <c r="Q17" s="62">
        <v>59</v>
      </c>
      <c r="R17" s="62">
        <v>100</v>
      </c>
      <c r="S17" s="62"/>
      <c r="T17" s="62">
        <v>42</v>
      </c>
      <c r="U17" s="62">
        <v>0</v>
      </c>
      <c r="V17" s="62"/>
      <c r="W17" s="55"/>
      <c r="X17" s="55"/>
      <c r="Y17" s="63" t="str">
        <f t="shared" si="10"/>
        <v>pasta amendoim</v>
      </c>
      <c r="Z17" s="55">
        <f t="shared" si="8"/>
        <v>0</v>
      </c>
      <c r="AA17" s="64"/>
      <c r="AB17" s="65">
        <v>37</v>
      </c>
      <c r="AC17" s="66">
        <v>7.0068999999999999</v>
      </c>
      <c r="AD17" s="67">
        <f t="shared" si="11"/>
        <v>5.2805092123478286</v>
      </c>
      <c r="AE17" s="64"/>
      <c r="AF17" s="64"/>
      <c r="AG17" s="64"/>
    </row>
    <row r="18" spans="1:33" ht="15.6">
      <c r="A18" s="55" t="s">
        <v>68</v>
      </c>
      <c r="B18" s="55">
        <v>500</v>
      </c>
      <c r="C18" s="56">
        <f t="shared" si="0"/>
        <v>0</v>
      </c>
      <c r="D18" s="56">
        <f t="shared" si="1"/>
        <v>0</v>
      </c>
      <c r="E18" s="56">
        <f t="shared" si="2"/>
        <v>475</v>
      </c>
      <c r="F18" s="56">
        <f t="shared" si="3"/>
        <v>250</v>
      </c>
      <c r="G18" s="55">
        <f t="shared" si="4"/>
        <v>475</v>
      </c>
      <c r="H18" s="57">
        <f t="shared" si="9"/>
        <v>3</v>
      </c>
      <c r="I18" s="58">
        <v>1000</v>
      </c>
      <c r="J18" s="59">
        <v>12</v>
      </c>
      <c r="K18" s="60">
        <f t="shared" si="7"/>
        <v>1.2E-2</v>
      </c>
      <c r="L18" s="61">
        <f t="shared" si="5"/>
        <v>6</v>
      </c>
      <c r="M18" s="62" t="str">
        <f t="shared" si="6"/>
        <v>glucose</v>
      </c>
      <c r="N18" s="62"/>
      <c r="O18" s="62"/>
      <c r="P18" s="62"/>
      <c r="Q18" s="62">
        <v>0</v>
      </c>
      <c r="R18" s="62">
        <v>95</v>
      </c>
      <c r="S18" s="62">
        <v>95</v>
      </c>
      <c r="T18" s="62"/>
      <c r="U18" s="62">
        <v>50</v>
      </c>
      <c r="V18" s="62">
        <v>60</v>
      </c>
      <c r="W18" s="55"/>
      <c r="X18" s="55"/>
      <c r="Y18" s="63" t="str">
        <f t="shared" si="10"/>
        <v>glucose</v>
      </c>
      <c r="Z18" s="56">
        <f t="shared" si="8"/>
        <v>650</v>
      </c>
      <c r="AA18" s="64"/>
      <c r="AB18" s="65">
        <v>20</v>
      </c>
      <c r="AC18" s="66">
        <v>6.0000000000000001E-3</v>
      </c>
      <c r="AD18" s="67">
        <f t="shared" si="11"/>
        <v>3333.3333333333335</v>
      </c>
      <c r="AE18" s="64"/>
      <c r="AF18" s="64"/>
      <c r="AG18" s="64"/>
    </row>
    <row r="19" spans="1:33" ht="15.6">
      <c r="A19" s="55" t="s">
        <v>69</v>
      </c>
      <c r="B19" s="55">
        <v>400</v>
      </c>
      <c r="C19" s="56">
        <f t="shared" si="0"/>
        <v>400</v>
      </c>
      <c r="D19" s="56">
        <f t="shared" si="1"/>
        <v>0</v>
      </c>
      <c r="E19" s="56">
        <f t="shared" si="2"/>
        <v>0</v>
      </c>
      <c r="F19" s="56">
        <f t="shared" si="3"/>
        <v>0</v>
      </c>
      <c r="G19" s="55">
        <f t="shared" si="4"/>
        <v>400</v>
      </c>
      <c r="H19" s="57">
        <f t="shared" si="9"/>
        <v>0</v>
      </c>
      <c r="I19" s="58">
        <v>1000</v>
      </c>
      <c r="J19" s="59">
        <v>50</v>
      </c>
      <c r="K19" s="60">
        <f t="shared" si="7"/>
        <v>0.05</v>
      </c>
      <c r="L19" s="61">
        <f t="shared" si="5"/>
        <v>20</v>
      </c>
      <c r="M19" s="62" t="str">
        <f t="shared" si="6"/>
        <v>max cream</v>
      </c>
      <c r="N19" s="62"/>
      <c r="O19" s="62"/>
      <c r="P19" s="62"/>
      <c r="Q19" s="62">
        <v>100</v>
      </c>
      <c r="R19" s="62">
        <v>100</v>
      </c>
      <c r="S19" s="62">
        <v>0</v>
      </c>
      <c r="T19" s="62"/>
      <c r="U19" s="62">
        <v>0</v>
      </c>
      <c r="V19" s="62">
        <v>0</v>
      </c>
      <c r="W19" s="55"/>
      <c r="X19" s="56" t="e">
        <f>$F$30/(V19/100)</f>
        <v>#DIV/0!</v>
      </c>
      <c r="Y19" s="63" t="str">
        <f t="shared" si="10"/>
        <v>max cream</v>
      </c>
      <c r="Z19" s="55">
        <f t="shared" si="8"/>
        <v>520</v>
      </c>
      <c r="AA19" s="64"/>
      <c r="AB19" s="65">
        <v>39</v>
      </c>
      <c r="AC19" s="66">
        <v>9.0068999999999999</v>
      </c>
      <c r="AD19" s="67">
        <f t="shared" si="11"/>
        <v>4.3300136561969156</v>
      </c>
      <c r="AE19" s="64"/>
      <c r="AF19" s="64"/>
      <c r="AG19" s="64"/>
    </row>
    <row r="20" spans="1:33" ht="15.6">
      <c r="A20" s="55" t="s">
        <v>70</v>
      </c>
      <c r="B20" s="55">
        <v>150</v>
      </c>
      <c r="C20" s="56">
        <f t="shared" si="0"/>
        <v>0</v>
      </c>
      <c r="D20" s="56">
        <f t="shared" si="1"/>
        <v>0</v>
      </c>
      <c r="E20" s="56">
        <f t="shared" si="2"/>
        <v>138</v>
      </c>
      <c r="F20" s="56">
        <f t="shared" si="3"/>
        <v>109.5</v>
      </c>
      <c r="G20" s="55">
        <f t="shared" si="4"/>
        <v>138</v>
      </c>
      <c r="H20" s="57">
        <f t="shared" si="9"/>
        <v>2.85</v>
      </c>
      <c r="I20" s="58">
        <v>1000</v>
      </c>
      <c r="J20" s="59">
        <v>13.95</v>
      </c>
      <c r="K20" s="60">
        <f t="shared" si="7"/>
        <v>1.3949999999999999E-2</v>
      </c>
      <c r="L20" s="61">
        <f t="shared" si="5"/>
        <v>2.0924999999999998</v>
      </c>
      <c r="M20" s="62" t="str">
        <f t="shared" si="6"/>
        <v>dextrose</v>
      </c>
      <c r="N20" s="62"/>
      <c r="O20" s="62"/>
      <c r="P20" s="62"/>
      <c r="Q20" s="62">
        <v>0</v>
      </c>
      <c r="R20" s="62">
        <v>92</v>
      </c>
      <c r="S20" s="62">
        <v>92</v>
      </c>
      <c r="T20" s="62"/>
      <c r="U20" s="62">
        <v>73</v>
      </c>
      <c r="V20" s="62">
        <v>190</v>
      </c>
      <c r="W20" s="55"/>
      <c r="X20" s="55"/>
      <c r="Y20" s="63" t="str">
        <f t="shared" si="10"/>
        <v>dextrose</v>
      </c>
      <c r="Z20" s="56">
        <f t="shared" si="8"/>
        <v>195</v>
      </c>
      <c r="AA20" s="64"/>
      <c r="AB20" s="64"/>
      <c r="AC20" s="64"/>
      <c r="AD20" s="64"/>
      <c r="AE20" s="64"/>
      <c r="AF20" s="64"/>
      <c r="AG20" s="64"/>
    </row>
    <row r="21" spans="1:33" ht="17.399999999999999" customHeight="1">
      <c r="A21" s="55" t="s">
        <v>27</v>
      </c>
      <c r="B21" s="55">
        <v>100</v>
      </c>
      <c r="C21" s="56">
        <f t="shared" si="0"/>
        <v>0</v>
      </c>
      <c r="D21" s="56">
        <f t="shared" si="1"/>
        <v>0</v>
      </c>
      <c r="E21" s="56">
        <f t="shared" si="2"/>
        <v>95</v>
      </c>
      <c r="F21" s="57">
        <f t="shared" si="3"/>
        <v>15</v>
      </c>
      <c r="G21" s="55">
        <f t="shared" si="4"/>
        <v>95</v>
      </c>
      <c r="H21" s="57">
        <f t="shared" si="9"/>
        <v>0.25</v>
      </c>
      <c r="I21" s="68">
        <v>1000</v>
      </c>
      <c r="J21" s="59">
        <v>10</v>
      </c>
      <c r="K21" s="60">
        <f t="shared" si="7"/>
        <v>0.01</v>
      </c>
      <c r="L21" s="61">
        <f t="shared" si="5"/>
        <v>1</v>
      </c>
      <c r="M21" s="62" t="str">
        <f t="shared" si="6"/>
        <v>maltodextrina</v>
      </c>
      <c r="N21" s="62"/>
      <c r="O21" s="62"/>
      <c r="P21" s="62"/>
      <c r="Q21" s="62"/>
      <c r="R21" s="62">
        <v>95</v>
      </c>
      <c r="S21" s="69">
        <v>95</v>
      </c>
      <c r="T21" s="62"/>
      <c r="U21" s="62">
        <v>15</v>
      </c>
      <c r="V21" s="62">
        <v>25</v>
      </c>
      <c r="W21" s="55"/>
      <c r="X21" s="55"/>
      <c r="Y21" s="63" t="str">
        <f t="shared" si="10"/>
        <v>maltodextrina</v>
      </c>
      <c r="Z21" s="55">
        <f t="shared" si="8"/>
        <v>130</v>
      </c>
      <c r="AA21" s="64"/>
      <c r="AB21" s="64"/>
      <c r="AC21" s="64"/>
      <c r="AD21" s="64"/>
      <c r="AE21" s="64"/>
      <c r="AF21" s="64"/>
      <c r="AG21" s="64"/>
    </row>
    <row r="22" spans="1:33" ht="15.6">
      <c r="A22" s="55" t="s">
        <v>71</v>
      </c>
      <c r="B22" s="55">
        <v>150</v>
      </c>
      <c r="C22" s="56">
        <f t="shared" si="0"/>
        <v>0</v>
      </c>
      <c r="D22" s="56">
        <f t="shared" si="1"/>
        <v>0</v>
      </c>
      <c r="E22" s="56">
        <f t="shared" si="2"/>
        <v>144</v>
      </c>
      <c r="F22" s="56">
        <f t="shared" si="3"/>
        <v>90</v>
      </c>
      <c r="G22" s="55">
        <f t="shared" si="4"/>
        <v>144</v>
      </c>
      <c r="H22" s="57">
        <f t="shared" si="9"/>
        <v>0.375</v>
      </c>
      <c r="I22" s="70">
        <v>1000</v>
      </c>
      <c r="J22" s="59">
        <v>24.92</v>
      </c>
      <c r="K22" s="60">
        <f t="shared" si="7"/>
        <v>2.4920000000000001E-2</v>
      </c>
      <c r="L22" s="61">
        <f t="shared" si="5"/>
        <v>3.738</v>
      </c>
      <c r="M22" s="62" t="str">
        <f t="shared" si="6"/>
        <v>poli</v>
      </c>
      <c r="N22" s="62"/>
      <c r="O22" s="62"/>
      <c r="P22" s="62"/>
      <c r="Q22" s="62">
        <v>0</v>
      </c>
      <c r="R22" s="62">
        <v>96</v>
      </c>
      <c r="S22" s="62">
        <v>96</v>
      </c>
      <c r="T22" s="62"/>
      <c r="U22" s="62">
        <v>60</v>
      </c>
      <c r="V22" s="62">
        <v>25</v>
      </c>
      <c r="W22" s="55"/>
      <c r="X22" s="55"/>
      <c r="Y22" s="63" t="str">
        <f t="shared" si="10"/>
        <v>poli</v>
      </c>
      <c r="Z22" s="56">
        <f t="shared" si="8"/>
        <v>195</v>
      </c>
      <c r="AA22" s="64"/>
      <c r="AB22" s="71">
        <v>6.9</v>
      </c>
      <c r="AC22" s="64">
        <v>300</v>
      </c>
      <c r="AD22" s="72">
        <f t="shared" ref="AD22:AD24" si="12">AC22/AB22</f>
        <v>43.478260869565219</v>
      </c>
      <c r="AE22" s="64"/>
      <c r="AF22" s="64"/>
      <c r="AG22" s="64"/>
    </row>
    <row r="23" spans="1:33" ht="16.8" customHeight="1">
      <c r="A23" s="55" t="s">
        <v>72</v>
      </c>
      <c r="B23" s="55">
        <v>130</v>
      </c>
      <c r="C23" s="57">
        <f t="shared" si="0"/>
        <v>0</v>
      </c>
      <c r="D23" s="57">
        <f t="shared" si="1"/>
        <v>0</v>
      </c>
      <c r="E23" s="57">
        <f t="shared" si="2"/>
        <v>97.37</v>
      </c>
      <c r="F23" s="57">
        <f t="shared" si="3"/>
        <v>169</v>
      </c>
      <c r="G23" s="55">
        <f t="shared" si="4"/>
        <v>97.37</v>
      </c>
      <c r="H23" s="57">
        <f t="shared" si="9"/>
        <v>2.4699999999999998</v>
      </c>
      <c r="I23" s="58">
        <v>1000</v>
      </c>
      <c r="J23" s="59">
        <v>9</v>
      </c>
      <c r="K23" s="60">
        <f t="shared" si="7"/>
        <v>8.9999999999999993E-3</v>
      </c>
      <c r="L23" s="61">
        <f t="shared" si="5"/>
        <v>1.17</v>
      </c>
      <c r="M23" s="62" t="str">
        <f t="shared" si="6"/>
        <v>açucar invertido</v>
      </c>
      <c r="N23" s="62"/>
      <c r="O23" s="62"/>
      <c r="P23" s="62"/>
      <c r="Q23" s="62"/>
      <c r="R23" s="62">
        <v>74.900000000000006</v>
      </c>
      <c r="S23" s="62">
        <v>74.900000000000006</v>
      </c>
      <c r="T23" s="62"/>
      <c r="U23" s="62">
        <v>130</v>
      </c>
      <c r="V23" s="62">
        <v>190</v>
      </c>
      <c r="W23" s="55"/>
      <c r="X23" s="55"/>
      <c r="Y23" s="63" t="str">
        <f t="shared" si="10"/>
        <v>açucar invertido</v>
      </c>
      <c r="Z23" s="55">
        <f t="shared" si="8"/>
        <v>169</v>
      </c>
      <c r="AA23" s="64"/>
      <c r="AB23" s="71"/>
      <c r="AC23" s="64"/>
      <c r="AD23" s="72" t="e">
        <f t="shared" si="12"/>
        <v>#DIV/0!</v>
      </c>
      <c r="AE23" s="64"/>
      <c r="AF23" s="64"/>
      <c r="AG23" s="64"/>
    </row>
    <row r="24" spans="1:33" ht="15.6">
      <c r="A24" s="55" t="s">
        <v>25</v>
      </c>
      <c r="B24" s="55">
        <v>50</v>
      </c>
      <c r="C24" s="55">
        <v>0</v>
      </c>
      <c r="D24" s="55">
        <v>0</v>
      </c>
      <c r="E24" s="55">
        <v>0</v>
      </c>
      <c r="F24" s="56">
        <f t="shared" si="3"/>
        <v>0</v>
      </c>
      <c r="G24" s="55">
        <f>B24</f>
        <v>50</v>
      </c>
      <c r="H24" s="57">
        <f t="shared" si="9"/>
        <v>0</v>
      </c>
      <c r="I24" s="58">
        <v>1000</v>
      </c>
      <c r="J24" s="59">
        <v>93.22</v>
      </c>
      <c r="K24" s="60">
        <f t="shared" si="7"/>
        <v>9.3219999999999997E-2</v>
      </c>
      <c r="L24" s="61">
        <f t="shared" si="5"/>
        <v>4.6609999999999996</v>
      </c>
      <c r="M24" s="62" t="str">
        <f>A24</f>
        <v>Neutro</v>
      </c>
      <c r="N24" s="62"/>
      <c r="O24" s="62"/>
      <c r="P24" s="62"/>
      <c r="Q24" s="62">
        <v>0</v>
      </c>
      <c r="R24" s="62"/>
      <c r="S24" s="62"/>
      <c r="T24" s="62"/>
      <c r="U24" s="62"/>
      <c r="V24" s="62"/>
      <c r="W24" s="55"/>
      <c r="X24" s="55"/>
      <c r="Y24" s="63" t="str">
        <f t="shared" si="10"/>
        <v>Neutro</v>
      </c>
      <c r="Z24" s="56">
        <f t="shared" si="8"/>
        <v>65</v>
      </c>
      <c r="AA24" s="64"/>
      <c r="AB24" s="73">
        <v>7.2</v>
      </c>
      <c r="AC24" s="64">
        <v>250</v>
      </c>
      <c r="AD24" s="72">
        <f t="shared" si="12"/>
        <v>34.722222222222221</v>
      </c>
      <c r="AE24" s="64"/>
      <c r="AF24" s="64"/>
      <c r="AG24" s="64"/>
    </row>
    <row r="25" spans="1:33" ht="15.6">
      <c r="A25" s="55" t="s">
        <v>73</v>
      </c>
      <c r="B25" s="56">
        <f>E25</f>
        <v>1250.6300000000001</v>
      </c>
      <c r="C25" s="55">
        <v>0</v>
      </c>
      <c r="D25" s="55">
        <v>0</v>
      </c>
      <c r="E25" s="56">
        <f>$E$4-SUM(E8:E24)</f>
        <v>1250.6300000000001</v>
      </c>
      <c r="F25" s="56">
        <f t="shared" si="3"/>
        <v>1250.6300000000001</v>
      </c>
      <c r="G25" s="56">
        <f>E25</f>
        <v>1250.6300000000001</v>
      </c>
      <c r="H25" s="57">
        <f t="shared" si="9"/>
        <v>12.506300000000001</v>
      </c>
      <c r="I25" s="58">
        <v>5000</v>
      </c>
      <c r="J25" s="59">
        <v>25</v>
      </c>
      <c r="K25" s="60">
        <f t="shared" si="7"/>
        <v>5.0000000000000001E-3</v>
      </c>
      <c r="L25" s="61">
        <f t="shared" si="5"/>
        <v>6.2531500000000007</v>
      </c>
      <c r="M25" s="62" t="str">
        <f>A25</f>
        <v>açucar</v>
      </c>
      <c r="N25" s="62"/>
      <c r="O25" s="62"/>
      <c r="P25" s="62"/>
      <c r="Q25" s="62">
        <v>0</v>
      </c>
      <c r="R25" s="62">
        <v>100</v>
      </c>
      <c r="S25" s="62">
        <v>100</v>
      </c>
      <c r="T25" s="62"/>
      <c r="U25" s="62">
        <v>100</v>
      </c>
      <c r="V25" s="62">
        <v>100</v>
      </c>
      <c r="W25" s="55"/>
      <c r="X25" s="55"/>
      <c r="Y25" s="63" t="str">
        <f t="shared" si="10"/>
        <v>açucar</v>
      </c>
      <c r="Z25" s="56">
        <f t="shared" si="8"/>
        <v>1625.8190000000002</v>
      </c>
      <c r="AA25" s="64"/>
      <c r="AB25" s="71"/>
      <c r="AC25" s="64"/>
      <c r="AD25" s="72"/>
      <c r="AE25" s="64"/>
      <c r="AF25" s="64"/>
      <c r="AG25" s="64"/>
    </row>
    <row r="26" spans="1:33" ht="15.6">
      <c r="A26" s="55" t="s">
        <v>74</v>
      </c>
      <c r="B26" s="56">
        <f>$B$2-SUM(B9:B25)</f>
        <v>5392.37</v>
      </c>
      <c r="C26" s="55">
        <f>B26*Q26/100</f>
        <v>188.73294999999999</v>
      </c>
      <c r="D26" s="55">
        <f>B26*P26/100</f>
        <v>452.95908000000003</v>
      </c>
      <c r="E26" s="56">
        <v>0</v>
      </c>
      <c r="F26" s="56">
        <v>0</v>
      </c>
      <c r="G26" s="56">
        <f>B26*R26/100</f>
        <v>647.08440000000007</v>
      </c>
      <c r="H26" s="57"/>
      <c r="I26" s="58">
        <v>1000</v>
      </c>
      <c r="J26" s="74">
        <v>3</v>
      </c>
      <c r="K26" s="60">
        <f t="shared" si="7"/>
        <v>3.0000000000000001E-3</v>
      </c>
      <c r="L26" s="61">
        <f t="shared" si="5"/>
        <v>16.177109999999999</v>
      </c>
      <c r="M26" s="62" t="s">
        <v>75</v>
      </c>
      <c r="N26" s="62"/>
      <c r="O26" s="62"/>
      <c r="P26" s="62">
        <v>8.4</v>
      </c>
      <c r="Q26" s="62">
        <v>3.5</v>
      </c>
      <c r="R26" s="62">
        <v>12</v>
      </c>
      <c r="S26" s="62"/>
      <c r="T26" s="62"/>
      <c r="U26" s="62"/>
      <c r="V26" s="62"/>
      <c r="W26" s="55"/>
      <c r="X26" s="55"/>
      <c r="Y26" s="63" t="str">
        <f t="shared" si="10"/>
        <v>leite 3,6%</v>
      </c>
      <c r="Z26" s="56">
        <f t="shared" si="8"/>
        <v>7010.0810000000001</v>
      </c>
      <c r="AA26" s="64">
        <v>2684</v>
      </c>
      <c r="AB26" s="75">
        <f>Z26-AA26</f>
        <v>4326.0810000000001</v>
      </c>
      <c r="AC26" s="64"/>
      <c r="AD26" s="64"/>
      <c r="AE26" s="64"/>
      <c r="AF26" s="64"/>
      <c r="AG26" s="64"/>
    </row>
    <row r="27" spans="1:33" s="11" customFormat="1" ht="15.6">
      <c r="A27" s="76" t="s">
        <v>76</v>
      </c>
      <c r="B27" s="76">
        <f>SUM(B8:B26)</f>
        <v>10000</v>
      </c>
      <c r="C27" s="77">
        <f>SUM(C8:C26)</f>
        <v>1300.4929500000001</v>
      </c>
      <c r="D27" s="77">
        <f>SUM(D8:D26)</f>
        <v>1200.26908</v>
      </c>
      <c r="E27" s="77">
        <f>SUM(E8:E25)</f>
        <v>2200</v>
      </c>
      <c r="F27" s="77">
        <f>SUM(F8:F25)</f>
        <v>1884.13</v>
      </c>
      <c r="G27" s="77">
        <f>SUM(G8:G26)</f>
        <v>4842.2543999999998</v>
      </c>
      <c r="H27" s="78">
        <f>SUMIF(H8:H25,"&lt;&gt;#dic/0!")</f>
        <v>27.452645400000002</v>
      </c>
      <c r="I27" s="79"/>
      <c r="J27" s="80"/>
      <c r="K27" s="80"/>
      <c r="L27" s="80">
        <f>SUM(L7:L26)</f>
        <v>121.04676000000001</v>
      </c>
      <c r="M27" s="81"/>
      <c r="N27" s="76"/>
      <c r="O27" s="76"/>
      <c r="P27" s="76"/>
      <c r="Q27" s="82"/>
      <c r="R27" s="82"/>
      <c r="S27" s="82"/>
      <c r="T27" s="82"/>
      <c r="U27" s="76"/>
      <c r="V27" s="76"/>
      <c r="W27" s="76"/>
      <c r="X27" s="81"/>
      <c r="Y27" s="63" t="str">
        <f t="shared" si="10"/>
        <v>Total (g)</v>
      </c>
      <c r="Z27" s="55">
        <f t="shared" si="8"/>
        <v>13000</v>
      </c>
      <c r="AA27" s="81"/>
      <c r="AB27" s="81"/>
      <c r="AC27" s="81"/>
      <c r="AD27" s="81"/>
      <c r="AE27" s="81"/>
      <c r="AF27" s="76"/>
      <c r="AG27" s="76"/>
    </row>
    <row r="28" spans="1:33" s="11" customFormat="1" ht="18" hidden="1">
      <c r="C28" s="20"/>
      <c r="D28" s="20"/>
      <c r="E28" s="20"/>
      <c r="F28" s="2"/>
      <c r="G28" s="20" t="s">
        <v>77</v>
      </c>
      <c r="H28" s="39">
        <f>-H27/2.5</f>
        <v>-10.98105816</v>
      </c>
      <c r="I28" s="24"/>
      <c r="J28" s="31"/>
      <c r="K28" s="31"/>
      <c r="L28" s="31"/>
      <c r="M28" s="11" t="s">
        <v>34</v>
      </c>
      <c r="Q28" s="1"/>
      <c r="R28" s="1"/>
      <c r="S28" s="1"/>
      <c r="T28" s="1"/>
      <c r="X28" s="7"/>
      <c r="Z28" s="41"/>
      <c r="AA28" s="7"/>
      <c r="AB28" s="7"/>
      <c r="AC28" s="7"/>
      <c r="AD28" s="7"/>
      <c r="AE28" s="7"/>
    </row>
    <row r="29" spans="1:33" ht="23.4">
      <c r="A29" s="7" t="s">
        <v>32</v>
      </c>
      <c r="B29" s="84">
        <f>L27/B27*1000</f>
        <v>12.104676</v>
      </c>
      <c r="C29" s="37"/>
      <c r="G29" s="85"/>
      <c r="H29" s="85"/>
      <c r="I29" s="85"/>
      <c r="J29" s="85"/>
    </row>
    <row r="30" spans="1:33" ht="15.6">
      <c r="A30" s="48" t="s">
        <v>78</v>
      </c>
      <c r="B30" s="49">
        <f>F30</f>
        <v>0.3125</v>
      </c>
      <c r="C30" s="48" t="s">
        <v>79</v>
      </c>
      <c r="D30" s="49">
        <v>2</v>
      </c>
      <c r="E30" s="48">
        <v>6.4</v>
      </c>
      <c r="F30" s="50">
        <f>D30/E30</f>
        <v>0.3125</v>
      </c>
      <c r="G30" s="86"/>
      <c r="H30" s="87"/>
      <c r="I30" s="85"/>
      <c r="J30" s="85"/>
    </row>
    <row r="31" spans="1:33">
      <c r="A31" s="48" t="s">
        <v>80</v>
      </c>
      <c r="B31" s="49">
        <f>F31</f>
        <v>2.34375</v>
      </c>
      <c r="C31" s="51" t="s">
        <v>81</v>
      </c>
      <c r="D31" s="49">
        <v>15</v>
      </c>
      <c r="E31" s="48">
        <v>6.4</v>
      </c>
      <c r="F31" s="50">
        <f>D31/E31</f>
        <v>2.34375</v>
      </c>
      <c r="G31" s="85"/>
      <c r="H31" s="88"/>
      <c r="I31" s="85"/>
      <c r="J31" s="85"/>
    </row>
    <row r="32" spans="1:33">
      <c r="A32" s="48" t="s">
        <v>80</v>
      </c>
      <c r="B32" s="49">
        <f t="shared" ref="B32:B33" si="13">F32</f>
        <v>2.34375</v>
      </c>
      <c r="C32" s="52" t="s">
        <v>82</v>
      </c>
      <c r="D32" s="49">
        <v>15</v>
      </c>
      <c r="E32" s="48">
        <v>6.4</v>
      </c>
      <c r="F32" s="50">
        <f t="shared" ref="F32:F33" si="14">D32/E32</f>
        <v>2.34375</v>
      </c>
      <c r="G32" s="85"/>
      <c r="H32" s="89"/>
      <c r="I32" s="85"/>
      <c r="J32" s="85"/>
    </row>
    <row r="33" spans="1:13">
      <c r="A33" s="48" t="s">
        <v>80</v>
      </c>
      <c r="B33" s="49">
        <f t="shared" si="13"/>
        <v>1.71875</v>
      </c>
      <c r="C33" s="48" t="s">
        <v>83</v>
      </c>
      <c r="D33" s="49">
        <v>11</v>
      </c>
      <c r="E33" s="48">
        <v>6.4</v>
      </c>
      <c r="F33" s="50">
        <f t="shared" si="14"/>
        <v>1.71875</v>
      </c>
      <c r="G33" s="47"/>
      <c r="H33" s="89"/>
      <c r="I33" s="85"/>
      <c r="J33" s="85"/>
      <c r="M33" s="14"/>
    </row>
    <row r="34" spans="1:13">
      <c r="A34" s="48" t="s">
        <v>84</v>
      </c>
      <c r="B34" s="52">
        <f>B29+B30+B32</f>
        <v>14.760926</v>
      </c>
      <c r="G34" s="85"/>
      <c r="H34" s="89"/>
      <c r="I34" s="85"/>
      <c r="J34" s="85"/>
    </row>
    <row r="35" spans="1:13">
      <c r="A35" s="48" t="s">
        <v>85</v>
      </c>
      <c r="B35" s="52">
        <f>B29+B30+B31</f>
        <v>14.760926</v>
      </c>
    </row>
    <row r="37" spans="1:13">
      <c r="A37" s="48" t="s">
        <v>86</v>
      </c>
      <c r="B37" s="8">
        <f>AVERAGE(B34:B35)</f>
        <v>14.760926</v>
      </c>
      <c r="C37" s="53"/>
      <c r="E37" s="15"/>
      <c r="F37" s="53"/>
      <c r="G37" s="14"/>
    </row>
    <row r="38" spans="1:13">
      <c r="A38" s="48" t="s">
        <v>87</v>
      </c>
      <c r="B38" s="53">
        <v>6.6</v>
      </c>
    </row>
    <row r="39" spans="1:13">
      <c r="A39" s="48" t="s">
        <v>88</v>
      </c>
      <c r="B39" s="8">
        <f>B37*B38</f>
        <v>97.422111599999994</v>
      </c>
    </row>
    <row r="40" spans="1:13">
      <c r="A40" s="48" t="s">
        <v>89</v>
      </c>
      <c r="B40" s="8">
        <f>B37*6.4</f>
        <v>94.469926400000006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0"/>
  <sheetViews>
    <sheetView workbookViewId="0">
      <pane ySplit="1" topLeftCell="A2" activePane="bottomLeft" state="frozen"/>
      <selection pane="bottomLeft" activeCell="J4" sqref="J4"/>
    </sheetView>
  </sheetViews>
  <sheetFormatPr defaultRowHeight="14.4"/>
  <cols>
    <col min="1" max="1" width="20.33203125" bestFit="1" customWidth="1"/>
    <col min="2" max="2" width="11.33203125" bestFit="1" customWidth="1"/>
    <col min="3" max="4" width="11.33203125" customWidth="1"/>
    <col min="5" max="5" width="12.33203125" customWidth="1"/>
    <col min="6" max="6" width="10.6640625" customWidth="1"/>
    <col min="7" max="7" width="10.5546875" bestFit="1" customWidth="1"/>
    <col min="8" max="8" width="13.44140625" customWidth="1"/>
    <col min="9" max="9" width="9.5546875" customWidth="1"/>
    <col min="10" max="11" width="10.5546875" customWidth="1"/>
    <col min="12" max="13" width="9.5546875" customWidth="1"/>
    <col min="14" max="14" width="17.6640625" bestFit="1" customWidth="1"/>
    <col min="15" max="15" width="10.5546875" bestFit="1" customWidth="1"/>
  </cols>
  <sheetData>
    <row r="1" spans="1:15" s="17" customFormat="1" ht="43.2">
      <c r="A1" s="17" t="s">
        <v>90</v>
      </c>
      <c r="B1" s="17" t="s">
        <v>91</v>
      </c>
      <c r="C1" s="17" t="s">
        <v>92</v>
      </c>
      <c r="D1" s="17" t="s">
        <v>93</v>
      </c>
      <c r="E1" s="17" t="s">
        <v>94</v>
      </c>
      <c r="F1" s="17" t="s">
        <v>95</v>
      </c>
      <c r="G1" s="17" t="s">
        <v>96</v>
      </c>
      <c r="H1" s="17" t="s">
        <v>97</v>
      </c>
      <c r="I1" s="17" t="s">
        <v>98</v>
      </c>
      <c r="J1" s="17" t="s">
        <v>99</v>
      </c>
      <c r="L1" s="17" t="s">
        <v>100</v>
      </c>
      <c r="N1" s="17" t="s">
        <v>101</v>
      </c>
      <c r="O1" s="17" t="s">
        <v>102</v>
      </c>
    </row>
    <row r="2" spans="1:15">
      <c r="A2" t="s">
        <v>103</v>
      </c>
      <c r="B2" s="15">
        <v>10</v>
      </c>
      <c r="C2">
        <v>4</v>
      </c>
      <c r="D2" s="14">
        <f t="shared" ref="D2:D16" si="0">C2*B2</f>
        <v>40</v>
      </c>
      <c r="E2">
        <v>4</v>
      </c>
      <c r="F2" s="14">
        <v>15</v>
      </c>
      <c r="G2" s="14">
        <f t="shared" ref="G2:G16" si="1">F2*E2</f>
        <v>60</v>
      </c>
      <c r="H2" s="16">
        <v>0</v>
      </c>
      <c r="I2" s="16">
        <f t="shared" ref="I2:I16" si="2">C2-H2-E2</f>
        <v>0</v>
      </c>
      <c r="J2" s="14">
        <f>G2-(E2+I2)*B2</f>
        <v>20</v>
      </c>
      <c r="K2" s="14"/>
      <c r="L2" s="14">
        <f t="shared" ref="L2:L16" si="3">I2*B2</f>
        <v>0</v>
      </c>
      <c r="M2" s="14"/>
      <c r="N2" t="s">
        <v>104</v>
      </c>
      <c r="O2">
        <v>10</v>
      </c>
    </row>
    <row r="3" spans="1:15">
      <c r="A3" t="s">
        <v>105</v>
      </c>
      <c r="B3" s="15">
        <v>7</v>
      </c>
      <c r="C3">
        <v>4</v>
      </c>
      <c r="D3" s="14">
        <f t="shared" si="0"/>
        <v>28</v>
      </c>
      <c r="E3">
        <v>3</v>
      </c>
      <c r="F3" s="14">
        <v>15</v>
      </c>
      <c r="G3" s="14">
        <f t="shared" si="1"/>
        <v>45</v>
      </c>
      <c r="H3" s="16">
        <v>1</v>
      </c>
      <c r="I3" s="16">
        <f t="shared" si="2"/>
        <v>0</v>
      </c>
      <c r="J3" s="14">
        <f>G3-(E3+I3)*B3</f>
        <v>24</v>
      </c>
      <c r="K3" s="14"/>
      <c r="L3" s="14">
        <f t="shared" si="3"/>
        <v>0</v>
      </c>
      <c r="M3" s="14"/>
      <c r="N3" t="s">
        <v>106</v>
      </c>
      <c r="O3">
        <v>10</v>
      </c>
    </row>
    <row r="4" spans="1:15">
      <c r="A4" t="s">
        <v>107</v>
      </c>
      <c r="B4" s="15">
        <v>7</v>
      </c>
      <c r="C4">
        <v>4</v>
      </c>
      <c r="D4" s="14">
        <f t="shared" si="0"/>
        <v>28</v>
      </c>
      <c r="E4">
        <v>3</v>
      </c>
      <c r="F4" s="14">
        <v>15</v>
      </c>
      <c r="G4" s="14">
        <f t="shared" si="1"/>
        <v>45</v>
      </c>
      <c r="H4" s="16">
        <v>1</v>
      </c>
      <c r="I4" s="16">
        <f t="shared" si="2"/>
        <v>0</v>
      </c>
      <c r="J4" s="14">
        <f t="shared" ref="J4:J16" si="4">G4-(E4+I4)*B4</f>
        <v>24</v>
      </c>
      <c r="K4" s="14"/>
      <c r="L4" s="14">
        <f t="shared" si="3"/>
        <v>0</v>
      </c>
      <c r="M4" s="14"/>
      <c r="N4" t="s">
        <v>108</v>
      </c>
      <c r="O4">
        <v>10</v>
      </c>
    </row>
    <row r="5" spans="1:15">
      <c r="A5" t="s">
        <v>109</v>
      </c>
      <c r="B5" s="15">
        <v>7</v>
      </c>
      <c r="C5">
        <v>4</v>
      </c>
      <c r="D5" s="14">
        <f t="shared" si="0"/>
        <v>28</v>
      </c>
      <c r="E5">
        <v>3</v>
      </c>
      <c r="F5" s="14">
        <v>15</v>
      </c>
      <c r="G5" s="14">
        <f t="shared" si="1"/>
        <v>45</v>
      </c>
      <c r="H5" s="16">
        <v>1</v>
      </c>
      <c r="I5" s="16">
        <f t="shared" si="2"/>
        <v>0</v>
      </c>
      <c r="J5" s="14">
        <f t="shared" si="4"/>
        <v>24</v>
      </c>
      <c r="K5" s="14"/>
      <c r="L5" s="14">
        <f t="shared" si="3"/>
        <v>0</v>
      </c>
      <c r="M5" s="14"/>
      <c r="N5" t="s">
        <v>110</v>
      </c>
      <c r="O5">
        <v>10</v>
      </c>
    </row>
    <row r="6" spans="1:15">
      <c r="A6" t="s">
        <v>111</v>
      </c>
      <c r="B6" s="15">
        <v>7</v>
      </c>
      <c r="C6">
        <v>4</v>
      </c>
      <c r="D6" s="14">
        <f t="shared" si="0"/>
        <v>28</v>
      </c>
      <c r="E6">
        <v>3</v>
      </c>
      <c r="F6" s="14">
        <v>15</v>
      </c>
      <c r="G6" s="14">
        <f t="shared" si="1"/>
        <v>45</v>
      </c>
      <c r="H6" s="16">
        <v>1</v>
      </c>
      <c r="I6" s="16">
        <f t="shared" si="2"/>
        <v>0</v>
      </c>
      <c r="J6" s="14">
        <f t="shared" si="4"/>
        <v>24</v>
      </c>
      <c r="K6" s="14"/>
      <c r="L6" s="14">
        <f t="shared" si="3"/>
        <v>0</v>
      </c>
      <c r="M6" s="14"/>
      <c r="N6" t="s">
        <v>112</v>
      </c>
      <c r="O6">
        <v>10</v>
      </c>
    </row>
    <row r="7" spans="1:15">
      <c r="A7" t="s">
        <v>113</v>
      </c>
      <c r="B7" s="15">
        <v>7</v>
      </c>
      <c r="C7">
        <v>4</v>
      </c>
      <c r="D7" s="14">
        <f t="shared" si="0"/>
        <v>28</v>
      </c>
      <c r="E7">
        <v>3</v>
      </c>
      <c r="F7" s="14">
        <v>15</v>
      </c>
      <c r="G7" s="14">
        <f t="shared" si="1"/>
        <v>45</v>
      </c>
      <c r="H7" s="16">
        <v>1</v>
      </c>
      <c r="I7" s="16">
        <f t="shared" si="2"/>
        <v>0</v>
      </c>
      <c r="J7" s="14">
        <f t="shared" si="4"/>
        <v>24</v>
      </c>
      <c r="K7" s="14"/>
      <c r="L7" s="14">
        <f t="shared" si="3"/>
        <v>0</v>
      </c>
      <c r="M7" s="14"/>
      <c r="N7" t="s">
        <v>114</v>
      </c>
      <c r="O7">
        <v>10</v>
      </c>
    </row>
    <row r="8" spans="1:15">
      <c r="A8" t="s">
        <v>115</v>
      </c>
      <c r="B8" s="15">
        <v>7</v>
      </c>
      <c r="C8">
        <v>4</v>
      </c>
      <c r="D8" s="14">
        <f t="shared" si="0"/>
        <v>28</v>
      </c>
      <c r="E8">
        <v>3</v>
      </c>
      <c r="F8" s="14">
        <v>15</v>
      </c>
      <c r="G8" s="14">
        <f t="shared" si="1"/>
        <v>45</v>
      </c>
      <c r="H8" s="16">
        <v>1</v>
      </c>
      <c r="I8" s="16">
        <f t="shared" si="2"/>
        <v>0</v>
      </c>
      <c r="J8" s="14">
        <f t="shared" si="4"/>
        <v>24</v>
      </c>
      <c r="K8" s="14"/>
      <c r="L8" s="14">
        <f t="shared" si="3"/>
        <v>0</v>
      </c>
      <c r="M8" s="14"/>
      <c r="N8" t="s">
        <v>116</v>
      </c>
      <c r="O8">
        <v>10</v>
      </c>
    </row>
    <row r="9" spans="1:15">
      <c r="A9" t="s">
        <v>117</v>
      </c>
      <c r="B9" s="15">
        <v>7</v>
      </c>
      <c r="C9">
        <v>4</v>
      </c>
      <c r="D9" s="14">
        <f t="shared" si="0"/>
        <v>28</v>
      </c>
      <c r="E9">
        <v>3</v>
      </c>
      <c r="F9" s="14">
        <v>15</v>
      </c>
      <c r="G9" s="14">
        <f t="shared" si="1"/>
        <v>45</v>
      </c>
      <c r="H9" s="16">
        <v>1</v>
      </c>
      <c r="I9" s="16">
        <f t="shared" si="2"/>
        <v>0</v>
      </c>
      <c r="J9" s="14">
        <f t="shared" si="4"/>
        <v>24</v>
      </c>
      <c r="K9" s="14"/>
      <c r="L9" s="14">
        <f t="shared" si="3"/>
        <v>0</v>
      </c>
      <c r="M9" s="14"/>
      <c r="N9" t="s">
        <v>118</v>
      </c>
      <c r="O9">
        <v>10</v>
      </c>
    </row>
    <row r="10" spans="1:15">
      <c r="A10" t="s">
        <v>119</v>
      </c>
      <c r="B10" s="15">
        <v>7</v>
      </c>
      <c r="C10">
        <v>4</v>
      </c>
      <c r="D10" s="14">
        <f t="shared" si="0"/>
        <v>28</v>
      </c>
      <c r="E10">
        <v>3</v>
      </c>
      <c r="F10" s="14">
        <v>15</v>
      </c>
      <c r="G10" s="14">
        <f t="shared" si="1"/>
        <v>45</v>
      </c>
      <c r="H10" s="16">
        <v>1</v>
      </c>
      <c r="I10" s="16">
        <f t="shared" si="2"/>
        <v>0</v>
      </c>
      <c r="J10" s="14">
        <f t="shared" si="4"/>
        <v>24</v>
      </c>
      <c r="K10" s="14"/>
      <c r="L10" s="14">
        <f t="shared" si="3"/>
        <v>0</v>
      </c>
      <c r="M10" s="14"/>
      <c r="N10" t="s">
        <v>30</v>
      </c>
      <c r="O10">
        <v>10</v>
      </c>
    </row>
    <row r="11" spans="1:15">
      <c r="A11" t="s">
        <v>120</v>
      </c>
      <c r="B11" s="15">
        <v>7</v>
      </c>
      <c r="C11">
        <v>4</v>
      </c>
      <c r="D11" s="14">
        <f t="shared" si="0"/>
        <v>28</v>
      </c>
      <c r="E11">
        <v>3</v>
      </c>
      <c r="F11" s="14">
        <v>15</v>
      </c>
      <c r="G11" s="14">
        <f t="shared" si="1"/>
        <v>45</v>
      </c>
      <c r="H11" s="16">
        <v>1</v>
      </c>
      <c r="I11" s="16">
        <f t="shared" si="2"/>
        <v>0</v>
      </c>
      <c r="J11" s="14">
        <f t="shared" si="4"/>
        <v>24</v>
      </c>
      <c r="K11" s="14"/>
      <c r="L11" s="14">
        <f t="shared" si="3"/>
        <v>0</v>
      </c>
      <c r="M11" s="14"/>
      <c r="N11" t="s">
        <v>121</v>
      </c>
      <c r="O11">
        <v>10</v>
      </c>
    </row>
    <row r="12" spans="1:15">
      <c r="A12" t="s">
        <v>122</v>
      </c>
      <c r="B12" s="15">
        <v>7</v>
      </c>
      <c r="C12">
        <v>4</v>
      </c>
      <c r="D12" s="14">
        <f t="shared" si="0"/>
        <v>28</v>
      </c>
      <c r="E12">
        <v>3</v>
      </c>
      <c r="F12" s="14">
        <v>15</v>
      </c>
      <c r="G12" s="14">
        <f t="shared" si="1"/>
        <v>45</v>
      </c>
      <c r="H12" s="16">
        <v>1</v>
      </c>
      <c r="I12" s="16">
        <f t="shared" si="2"/>
        <v>0</v>
      </c>
      <c r="J12" s="14">
        <f t="shared" si="4"/>
        <v>24</v>
      </c>
      <c r="K12" s="14"/>
      <c r="L12" s="14">
        <f t="shared" si="3"/>
        <v>0</v>
      </c>
      <c r="M12" s="14"/>
    </row>
    <row r="13" spans="1:15">
      <c r="A13" t="s">
        <v>123</v>
      </c>
      <c r="B13" s="15">
        <v>7</v>
      </c>
      <c r="C13">
        <v>4</v>
      </c>
      <c r="D13" s="14">
        <f t="shared" si="0"/>
        <v>28</v>
      </c>
      <c r="E13">
        <v>3</v>
      </c>
      <c r="F13" s="14">
        <v>15</v>
      </c>
      <c r="G13" s="14">
        <f t="shared" si="1"/>
        <v>45</v>
      </c>
      <c r="H13" s="16">
        <v>1</v>
      </c>
      <c r="I13" s="16">
        <f t="shared" si="2"/>
        <v>0</v>
      </c>
      <c r="J13" s="14">
        <f t="shared" si="4"/>
        <v>24</v>
      </c>
      <c r="K13" s="14"/>
      <c r="L13" s="14">
        <f t="shared" si="3"/>
        <v>0</v>
      </c>
      <c r="M13" s="14"/>
    </row>
    <row r="14" spans="1:15">
      <c r="A14" t="s">
        <v>124</v>
      </c>
      <c r="B14" s="15">
        <v>7</v>
      </c>
      <c r="C14">
        <v>4</v>
      </c>
      <c r="D14" s="14">
        <f t="shared" si="0"/>
        <v>28</v>
      </c>
      <c r="E14">
        <v>3</v>
      </c>
      <c r="F14" s="14">
        <v>15</v>
      </c>
      <c r="G14" s="14">
        <f t="shared" si="1"/>
        <v>45</v>
      </c>
      <c r="H14" s="16">
        <v>1</v>
      </c>
      <c r="I14" s="16">
        <f t="shared" si="2"/>
        <v>0</v>
      </c>
      <c r="J14" s="14">
        <f t="shared" si="4"/>
        <v>24</v>
      </c>
      <c r="K14" s="14"/>
      <c r="L14" s="14">
        <f t="shared" si="3"/>
        <v>0</v>
      </c>
      <c r="M14" s="14"/>
    </row>
    <row r="15" spans="1:15">
      <c r="A15" t="s">
        <v>125</v>
      </c>
      <c r="B15" s="15">
        <v>7</v>
      </c>
      <c r="C15">
        <v>4</v>
      </c>
      <c r="D15" s="14">
        <f t="shared" si="0"/>
        <v>28</v>
      </c>
      <c r="E15">
        <v>3</v>
      </c>
      <c r="F15" s="14">
        <v>15</v>
      </c>
      <c r="G15" s="14">
        <f t="shared" si="1"/>
        <v>45</v>
      </c>
      <c r="H15" s="16">
        <v>1</v>
      </c>
      <c r="I15" s="16">
        <f t="shared" si="2"/>
        <v>0</v>
      </c>
      <c r="J15" s="14">
        <f t="shared" si="4"/>
        <v>24</v>
      </c>
      <c r="K15" s="14"/>
      <c r="L15" s="14">
        <f t="shared" si="3"/>
        <v>0</v>
      </c>
      <c r="M15" s="14"/>
    </row>
    <row r="16" spans="1:15">
      <c r="A16" t="s">
        <v>126</v>
      </c>
      <c r="B16" s="15">
        <v>7</v>
      </c>
      <c r="C16">
        <v>4</v>
      </c>
      <c r="D16" s="14">
        <f t="shared" si="0"/>
        <v>28</v>
      </c>
      <c r="E16">
        <v>3</v>
      </c>
      <c r="F16" s="14">
        <v>15</v>
      </c>
      <c r="G16" s="14">
        <f t="shared" si="1"/>
        <v>45</v>
      </c>
      <c r="H16" s="16">
        <v>1</v>
      </c>
      <c r="I16" s="16">
        <f t="shared" si="2"/>
        <v>0</v>
      </c>
      <c r="J16" s="14">
        <f t="shared" si="4"/>
        <v>24</v>
      </c>
      <c r="K16" s="14"/>
      <c r="L16" s="14">
        <f t="shared" si="3"/>
        <v>0</v>
      </c>
      <c r="M16" s="14"/>
    </row>
    <row r="18" spans="1:15">
      <c r="A18" t="s">
        <v>127</v>
      </c>
      <c r="B18" s="14">
        <f t="shared" ref="B18:J18" si="5">SUM(B2:B16)</f>
        <v>108</v>
      </c>
      <c r="C18" s="16">
        <f t="shared" si="5"/>
        <v>60</v>
      </c>
      <c r="D18" s="14">
        <f t="shared" si="5"/>
        <v>432</v>
      </c>
      <c r="E18" s="16">
        <f t="shared" si="5"/>
        <v>46</v>
      </c>
      <c r="F18" s="15">
        <f t="shared" si="5"/>
        <v>225</v>
      </c>
      <c r="G18" s="14">
        <f t="shared" si="5"/>
        <v>690</v>
      </c>
      <c r="H18" s="16">
        <f t="shared" si="5"/>
        <v>14</v>
      </c>
      <c r="I18" s="16">
        <f t="shared" si="5"/>
        <v>0</v>
      </c>
      <c r="J18" s="15">
        <f t="shared" si="5"/>
        <v>356</v>
      </c>
      <c r="K18" s="14"/>
      <c r="L18" s="14">
        <f>SUM(L2:L16)</f>
        <v>0</v>
      </c>
      <c r="N18" t="s">
        <v>127</v>
      </c>
      <c r="O18" s="14">
        <f>SUM(O2:O16)</f>
        <v>100</v>
      </c>
    </row>
    <row r="19" spans="1:15">
      <c r="A19" t="s">
        <v>128</v>
      </c>
      <c r="B19" s="14">
        <v>366</v>
      </c>
      <c r="C19" s="16"/>
      <c r="D19" s="14"/>
      <c r="E19" s="16"/>
      <c r="F19" s="15"/>
      <c r="G19" s="14"/>
      <c r="H19" s="16"/>
      <c r="I19" s="16"/>
      <c r="J19" s="15"/>
      <c r="K19" s="14"/>
      <c r="L19" s="14"/>
      <c r="O19" s="14"/>
    </row>
    <row r="20" spans="1:15">
      <c r="A20" t="s">
        <v>129</v>
      </c>
      <c r="B20" s="14">
        <f>J18+B19-O18</f>
        <v>622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25"/>
  <sheetViews>
    <sheetView workbookViewId="0">
      <selection activeCell="E12" sqref="E12"/>
    </sheetView>
  </sheetViews>
  <sheetFormatPr defaultRowHeight="14.4"/>
  <cols>
    <col min="1" max="1" width="22.44140625" customWidth="1"/>
    <col min="2" max="2" width="13.44140625" customWidth="1"/>
    <col min="4" max="4" width="10.5546875" bestFit="1" customWidth="1"/>
    <col min="5" max="5" width="10.5546875" customWidth="1"/>
    <col min="6" max="6" width="11.33203125" customWidth="1"/>
    <col min="7" max="7" width="13.33203125" customWidth="1"/>
    <col min="8" max="8" width="13.44140625" customWidth="1"/>
    <col min="9" max="9" width="9.5546875" customWidth="1"/>
    <col min="10" max="10" width="12" customWidth="1"/>
    <col min="11" max="11" width="10.5546875" customWidth="1"/>
    <col min="12" max="12" width="9.5546875" customWidth="1"/>
  </cols>
  <sheetData>
    <row r="1" spans="1:12" s="1" customFormat="1" ht="57.6">
      <c r="B1" s="1" t="s">
        <v>130</v>
      </c>
      <c r="C1" s="1" t="s">
        <v>131</v>
      </c>
      <c r="D1" s="1" t="s">
        <v>93</v>
      </c>
      <c r="E1" s="17" t="s">
        <v>132</v>
      </c>
      <c r="F1" s="17" t="s">
        <v>133</v>
      </c>
      <c r="G1" s="17" t="s">
        <v>96</v>
      </c>
      <c r="H1" s="17" t="s">
        <v>134</v>
      </c>
      <c r="I1" s="17" t="s">
        <v>135</v>
      </c>
      <c r="J1" s="17" t="s">
        <v>99</v>
      </c>
      <c r="K1" s="17"/>
      <c r="L1" s="17" t="s">
        <v>100</v>
      </c>
    </row>
    <row r="2" spans="1:12">
      <c r="A2" t="s">
        <v>136</v>
      </c>
      <c r="B2">
        <v>100</v>
      </c>
      <c r="C2" s="15">
        <v>0.22</v>
      </c>
      <c r="D2" s="14">
        <f>B2*(C2+$B$20)</f>
        <v>36</v>
      </c>
      <c r="E2" s="6">
        <v>100</v>
      </c>
      <c r="F2" s="14">
        <v>1.5</v>
      </c>
      <c r="G2" s="14">
        <f>E2*F2</f>
        <v>150</v>
      </c>
      <c r="H2" s="6">
        <f>B2-E2</f>
        <v>0</v>
      </c>
      <c r="I2" s="6">
        <f>B2-E2-H2</f>
        <v>0</v>
      </c>
      <c r="J2" s="14">
        <f>G2-(E2+I2)*C2</f>
        <v>128</v>
      </c>
      <c r="K2" s="14"/>
      <c r="L2" s="14">
        <f>I2*C2</f>
        <v>0</v>
      </c>
    </row>
    <row r="3" spans="1:12">
      <c r="A3" t="s">
        <v>137</v>
      </c>
      <c r="B3">
        <v>100</v>
      </c>
      <c r="C3" s="15">
        <v>0.42</v>
      </c>
      <c r="D3" s="14">
        <f t="shared" ref="D3:D16" si="0">B3*(C3+$B$20)</f>
        <v>56.000000000000007</v>
      </c>
      <c r="E3" s="6">
        <v>100</v>
      </c>
      <c r="F3" s="14">
        <v>2</v>
      </c>
      <c r="G3" s="14">
        <f t="shared" ref="G3:G16" si="1">E3*F3</f>
        <v>200</v>
      </c>
      <c r="H3" s="6">
        <f t="shared" ref="H3:H16" si="2">B3-E3</f>
        <v>0</v>
      </c>
      <c r="I3" s="6">
        <f t="shared" ref="I3:I16" si="3">B3-E3-H3</f>
        <v>0</v>
      </c>
      <c r="J3" s="14">
        <f t="shared" ref="J3:J16" si="4">G3-(E3+I3)*C3</f>
        <v>158</v>
      </c>
      <c r="K3" s="14"/>
      <c r="L3" s="14">
        <f t="shared" ref="L3:L16" si="5">I3*C3</f>
        <v>0</v>
      </c>
    </row>
    <row r="4" spans="1:12">
      <c r="A4" t="s">
        <v>138</v>
      </c>
      <c r="B4">
        <v>100</v>
      </c>
      <c r="C4" s="15">
        <v>0.33</v>
      </c>
      <c r="D4" s="14">
        <f t="shared" si="0"/>
        <v>47</v>
      </c>
      <c r="E4" s="6">
        <v>100</v>
      </c>
      <c r="F4" s="14">
        <v>2</v>
      </c>
      <c r="G4" s="14">
        <f t="shared" si="1"/>
        <v>200</v>
      </c>
      <c r="H4" s="6">
        <f t="shared" si="2"/>
        <v>0</v>
      </c>
      <c r="I4" s="6">
        <f t="shared" si="3"/>
        <v>0</v>
      </c>
      <c r="J4" s="14">
        <f t="shared" si="4"/>
        <v>167</v>
      </c>
      <c r="K4" s="14"/>
      <c r="L4" s="14">
        <f t="shared" si="5"/>
        <v>0</v>
      </c>
    </row>
    <row r="5" spans="1:12">
      <c r="A5" t="s">
        <v>139</v>
      </c>
      <c r="B5">
        <v>100</v>
      </c>
      <c r="C5" s="15">
        <v>0.5</v>
      </c>
      <c r="D5" s="14">
        <f t="shared" si="0"/>
        <v>64</v>
      </c>
      <c r="E5" s="6">
        <v>100</v>
      </c>
      <c r="F5" s="14">
        <v>2</v>
      </c>
      <c r="G5" s="14">
        <f t="shared" si="1"/>
        <v>200</v>
      </c>
      <c r="H5" s="6">
        <f t="shared" si="2"/>
        <v>0</v>
      </c>
      <c r="I5" s="6">
        <f t="shared" si="3"/>
        <v>0</v>
      </c>
      <c r="J5" s="14">
        <f t="shared" si="4"/>
        <v>150</v>
      </c>
      <c r="K5" s="14"/>
      <c r="L5" s="14">
        <f t="shared" si="5"/>
        <v>0</v>
      </c>
    </row>
    <row r="6" spans="1:12">
      <c r="A6" t="s">
        <v>140</v>
      </c>
      <c r="B6">
        <v>100</v>
      </c>
      <c r="C6" s="15">
        <v>0.42</v>
      </c>
      <c r="D6" s="14">
        <f t="shared" si="0"/>
        <v>56.000000000000007</v>
      </c>
      <c r="E6" s="6">
        <v>100</v>
      </c>
      <c r="F6" s="14">
        <v>2</v>
      </c>
      <c r="G6" s="14">
        <f t="shared" si="1"/>
        <v>200</v>
      </c>
      <c r="H6" s="6">
        <f t="shared" si="2"/>
        <v>0</v>
      </c>
      <c r="I6" s="6">
        <f t="shared" si="3"/>
        <v>0</v>
      </c>
      <c r="J6" s="14">
        <f t="shared" si="4"/>
        <v>158</v>
      </c>
      <c r="K6" s="14"/>
      <c r="L6" s="14">
        <f t="shared" si="5"/>
        <v>0</v>
      </c>
    </row>
    <row r="7" spans="1:12">
      <c r="A7" t="s">
        <v>141</v>
      </c>
      <c r="B7">
        <v>100</v>
      </c>
      <c r="C7" s="15">
        <v>0.42</v>
      </c>
      <c r="D7" s="14">
        <f t="shared" si="0"/>
        <v>56.000000000000007</v>
      </c>
      <c r="E7" s="6">
        <v>100</v>
      </c>
      <c r="F7" s="14">
        <v>2</v>
      </c>
      <c r="G7" s="14">
        <f t="shared" si="1"/>
        <v>200</v>
      </c>
      <c r="H7" s="6">
        <f t="shared" si="2"/>
        <v>0</v>
      </c>
      <c r="I7" s="6">
        <f t="shared" si="3"/>
        <v>0</v>
      </c>
      <c r="J7" s="14">
        <f t="shared" si="4"/>
        <v>158</v>
      </c>
      <c r="K7" s="14"/>
      <c r="L7" s="14">
        <f t="shared" si="5"/>
        <v>0</v>
      </c>
    </row>
    <row r="8" spans="1:12">
      <c r="A8" t="s">
        <v>142</v>
      </c>
      <c r="B8">
        <v>100</v>
      </c>
      <c r="C8" s="15">
        <v>0.17</v>
      </c>
      <c r="D8" s="14">
        <f t="shared" si="0"/>
        <v>31.000000000000007</v>
      </c>
      <c r="E8" s="6">
        <v>100</v>
      </c>
      <c r="F8" s="14">
        <v>1.5</v>
      </c>
      <c r="G8" s="14">
        <f t="shared" si="1"/>
        <v>150</v>
      </c>
      <c r="H8" s="6">
        <f t="shared" si="2"/>
        <v>0</v>
      </c>
      <c r="I8" s="6">
        <f t="shared" si="3"/>
        <v>0</v>
      </c>
      <c r="J8" s="14">
        <f t="shared" si="4"/>
        <v>133</v>
      </c>
      <c r="K8" s="14"/>
      <c r="L8" s="14">
        <f t="shared" si="5"/>
        <v>0</v>
      </c>
    </row>
    <row r="9" spans="1:12">
      <c r="A9" t="s">
        <v>143</v>
      </c>
      <c r="B9">
        <v>100</v>
      </c>
      <c r="C9" s="15">
        <v>0.22</v>
      </c>
      <c r="D9" s="14">
        <f t="shared" si="0"/>
        <v>36</v>
      </c>
      <c r="E9" s="6">
        <v>100</v>
      </c>
      <c r="F9" s="14">
        <v>1.5</v>
      </c>
      <c r="G9" s="14">
        <f t="shared" si="1"/>
        <v>150</v>
      </c>
      <c r="H9" s="6">
        <f t="shared" si="2"/>
        <v>0</v>
      </c>
      <c r="I9" s="6">
        <f t="shared" si="3"/>
        <v>0</v>
      </c>
      <c r="J9" s="14">
        <f t="shared" si="4"/>
        <v>128</v>
      </c>
      <c r="K9" s="14"/>
      <c r="L9" s="14">
        <f t="shared" si="5"/>
        <v>0</v>
      </c>
    </row>
    <row r="10" spans="1:12">
      <c r="A10" t="s">
        <v>144</v>
      </c>
      <c r="B10">
        <v>100</v>
      </c>
      <c r="C10" s="15">
        <v>0.33</v>
      </c>
      <c r="D10" s="14">
        <f t="shared" si="0"/>
        <v>47</v>
      </c>
      <c r="E10" s="6">
        <v>100</v>
      </c>
      <c r="F10" s="14">
        <v>2</v>
      </c>
      <c r="G10" s="14">
        <f t="shared" si="1"/>
        <v>200</v>
      </c>
      <c r="H10" s="6">
        <f t="shared" si="2"/>
        <v>0</v>
      </c>
      <c r="I10" s="6">
        <f t="shared" si="3"/>
        <v>0</v>
      </c>
      <c r="J10" s="14">
        <f t="shared" si="4"/>
        <v>167</v>
      </c>
      <c r="K10" s="14"/>
      <c r="L10" s="14">
        <f t="shared" si="5"/>
        <v>0</v>
      </c>
    </row>
    <row r="11" spans="1:12">
      <c r="A11" t="s">
        <v>145</v>
      </c>
      <c r="B11">
        <v>100</v>
      </c>
      <c r="C11" s="15">
        <v>0.22</v>
      </c>
      <c r="D11" s="14">
        <f t="shared" si="0"/>
        <v>36</v>
      </c>
      <c r="E11" s="6">
        <v>100</v>
      </c>
      <c r="F11" s="14">
        <v>1.5</v>
      </c>
      <c r="G11" s="14">
        <f t="shared" si="1"/>
        <v>150</v>
      </c>
      <c r="H11" s="6">
        <f t="shared" si="2"/>
        <v>0</v>
      </c>
      <c r="I11" s="6">
        <f t="shared" si="3"/>
        <v>0</v>
      </c>
      <c r="J11" s="14">
        <f t="shared" si="4"/>
        <v>128</v>
      </c>
      <c r="K11" s="14"/>
      <c r="L11" s="14">
        <f t="shared" si="5"/>
        <v>0</v>
      </c>
    </row>
    <row r="12" spans="1:12">
      <c r="A12" t="s">
        <v>146</v>
      </c>
      <c r="B12">
        <v>100</v>
      </c>
      <c r="C12" s="15">
        <v>0.42</v>
      </c>
      <c r="D12" s="14">
        <f t="shared" si="0"/>
        <v>56.000000000000007</v>
      </c>
      <c r="E12" s="6">
        <v>100</v>
      </c>
      <c r="F12" s="14">
        <v>2</v>
      </c>
      <c r="G12" s="14">
        <f t="shared" si="1"/>
        <v>200</v>
      </c>
      <c r="H12" s="6">
        <f t="shared" si="2"/>
        <v>0</v>
      </c>
      <c r="I12" s="6">
        <f t="shared" si="3"/>
        <v>0</v>
      </c>
      <c r="J12" s="14">
        <f t="shared" si="4"/>
        <v>158</v>
      </c>
      <c r="K12" s="14"/>
      <c r="L12" s="14">
        <f t="shared" si="5"/>
        <v>0</v>
      </c>
    </row>
    <row r="13" spans="1:12">
      <c r="A13" t="s">
        <v>147</v>
      </c>
      <c r="B13">
        <v>100</v>
      </c>
      <c r="C13" s="15">
        <v>0.28000000000000003</v>
      </c>
      <c r="D13" s="14">
        <f t="shared" si="0"/>
        <v>42.000000000000007</v>
      </c>
      <c r="E13" s="6">
        <v>100</v>
      </c>
      <c r="F13" s="14">
        <v>1.5</v>
      </c>
      <c r="G13" s="14">
        <f t="shared" si="1"/>
        <v>150</v>
      </c>
      <c r="H13" s="6">
        <f t="shared" si="2"/>
        <v>0</v>
      </c>
      <c r="I13" s="6">
        <f t="shared" si="3"/>
        <v>0</v>
      </c>
      <c r="J13" s="14">
        <f t="shared" si="4"/>
        <v>122</v>
      </c>
      <c r="K13" s="14"/>
      <c r="L13" s="14">
        <f t="shared" si="5"/>
        <v>0</v>
      </c>
    </row>
    <row r="14" spans="1:12">
      <c r="A14" t="s">
        <v>148</v>
      </c>
      <c r="B14">
        <v>100</v>
      </c>
      <c r="C14" s="15">
        <v>0.3</v>
      </c>
      <c r="D14" s="14">
        <f t="shared" si="0"/>
        <v>44</v>
      </c>
      <c r="E14" s="6">
        <v>100</v>
      </c>
      <c r="F14" s="14">
        <v>2</v>
      </c>
      <c r="G14" s="14">
        <f t="shared" si="1"/>
        <v>200</v>
      </c>
      <c r="H14" s="6">
        <f t="shared" si="2"/>
        <v>0</v>
      </c>
      <c r="I14" s="6">
        <f t="shared" si="3"/>
        <v>0</v>
      </c>
      <c r="J14" s="14">
        <f t="shared" si="4"/>
        <v>170</v>
      </c>
      <c r="K14" s="14"/>
      <c r="L14" s="14">
        <f t="shared" si="5"/>
        <v>0</v>
      </c>
    </row>
    <row r="15" spans="1:12">
      <c r="A15" t="s">
        <v>125</v>
      </c>
      <c r="B15">
        <v>100</v>
      </c>
      <c r="C15" s="15">
        <v>0.42</v>
      </c>
      <c r="D15" s="14">
        <f t="shared" si="0"/>
        <v>56.000000000000007</v>
      </c>
      <c r="E15" s="6">
        <v>100</v>
      </c>
      <c r="F15" s="14">
        <v>1.5</v>
      </c>
      <c r="G15" s="14">
        <f t="shared" si="1"/>
        <v>150</v>
      </c>
      <c r="H15" s="6">
        <f t="shared" si="2"/>
        <v>0</v>
      </c>
      <c r="I15" s="6">
        <f t="shared" si="3"/>
        <v>0</v>
      </c>
      <c r="J15" s="14">
        <f t="shared" si="4"/>
        <v>108</v>
      </c>
      <c r="K15" s="14"/>
      <c r="L15" s="14">
        <f t="shared" si="5"/>
        <v>0</v>
      </c>
    </row>
    <row r="16" spans="1:12">
      <c r="A16" t="s">
        <v>126</v>
      </c>
      <c r="B16">
        <v>100</v>
      </c>
      <c r="C16" s="15">
        <v>0.42</v>
      </c>
      <c r="D16" s="14">
        <f t="shared" si="0"/>
        <v>56.000000000000007</v>
      </c>
      <c r="E16" s="6">
        <v>100</v>
      </c>
      <c r="F16" s="14">
        <v>1.5</v>
      </c>
      <c r="G16" s="14">
        <f t="shared" si="1"/>
        <v>150</v>
      </c>
      <c r="H16" s="6">
        <f t="shared" si="2"/>
        <v>0</v>
      </c>
      <c r="I16" s="6">
        <f t="shared" si="3"/>
        <v>0</v>
      </c>
      <c r="J16" s="14">
        <f t="shared" si="4"/>
        <v>108</v>
      </c>
      <c r="K16" s="14"/>
      <c r="L16" s="14">
        <f t="shared" si="5"/>
        <v>0</v>
      </c>
    </row>
    <row r="18" spans="1:12">
      <c r="A18" t="s">
        <v>127</v>
      </c>
      <c r="B18" s="6">
        <f t="shared" ref="B18:J18" si="6">SUM(B2:B16)</f>
        <v>1500</v>
      </c>
      <c r="C18" s="14">
        <f t="shared" si="6"/>
        <v>5.09</v>
      </c>
      <c r="D18" s="14">
        <f t="shared" si="6"/>
        <v>719</v>
      </c>
      <c r="E18" s="6">
        <f t="shared" si="6"/>
        <v>1500</v>
      </c>
      <c r="F18" s="14">
        <f t="shared" si="6"/>
        <v>26.5</v>
      </c>
      <c r="G18" s="14">
        <f t="shared" si="6"/>
        <v>2650</v>
      </c>
      <c r="H18" s="6">
        <f t="shared" si="6"/>
        <v>0</v>
      </c>
      <c r="I18" s="6">
        <f t="shared" si="6"/>
        <v>0</v>
      </c>
      <c r="J18" s="15">
        <f t="shared" si="6"/>
        <v>2141</v>
      </c>
      <c r="K18" s="14"/>
      <c r="L18" s="14">
        <f>SUM(L2:L16)</f>
        <v>0</v>
      </c>
    </row>
    <row r="19" spans="1:12">
      <c r="E19" s="14"/>
      <c r="F19" s="16"/>
      <c r="G19" s="14"/>
      <c r="H19" s="16"/>
      <c r="I19" s="16"/>
      <c r="J19" s="15"/>
      <c r="K19" s="14"/>
      <c r="L19" s="14"/>
    </row>
    <row r="20" spans="1:12">
      <c r="A20" t="s">
        <v>149</v>
      </c>
      <c r="B20" s="15">
        <v>0.14000000000000001</v>
      </c>
      <c r="E20" s="14"/>
      <c r="F20" s="14"/>
      <c r="G20" s="14"/>
      <c r="H20" s="16"/>
      <c r="I20" s="16"/>
      <c r="J20" s="15"/>
      <c r="K20" s="14"/>
      <c r="L20" s="14"/>
    </row>
    <row r="21" spans="1:12">
      <c r="E21" s="14"/>
      <c r="F21" s="14"/>
      <c r="G21" s="14"/>
      <c r="H21" s="16"/>
      <c r="I21" s="16"/>
      <c r="J21" s="15"/>
      <c r="K21" s="14"/>
      <c r="L21" s="14"/>
    </row>
    <row r="22" spans="1:12">
      <c r="E22" s="14"/>
      <c r="F22" s="14"/>
      <c r="G22" s="14"/>
      <c r="H22" s="16"/>
      <c r="I22" s="16"/>
      <c r="J22" s="15"/>
      <c r="K22" s="14"/>
      <c r="L22" s="14"/>
    </row>
    <row r="23" spans="1:12">
      <c r="E23" s="14"/>
      <c r="F23" s="14"/>
      <c r="G23" s="14"/>
      <c r="H23" s="16"/>
      <c r="I23" s="16"/>
      <c r="J23" s="15"/>
      <c r="K23" s="14"/>
      <c r="L23" s="14"/>
    </row>
    <row r="24" spans="1:12">
      <c r="E24" s="14"/>
      <c r="F24" s="14"/>
      <c r="G24" s="14"/>
      <c r="H24" s="16"/>
      <c r="I24" s="16"/>
      <c r="J24" s="15"/>
      <c r="K24" s="14"/>
      <c r="L24" s="14"/>
    </row>
    <row r="25" spans="1:12">
      <c r="E25" s="14"/>
      <c r="F25" s="14"/>
      <c r="G25" s="14"/>
      <c r="H25" s="16"/>
      <c r="I25" s="16"/>
      <c r="J25" s="15"/>
      <c r="K25" s="14"/>
      <c r="L25" s="14"/>
    </row>
  </sheetData>
  <phoneticPr fontId="6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6"/>
  <sheetViews>
    <sheetView workbookViewId="0">
      <pane ySplit="1" topLeftCell="A5" activePane="bottomLeft" state="frozen"/>
      <selection pane="bottomLeft" activeCell="A8" sqref="A8"/>
    </sheetView>
  </sheetViews>
  <sheetFormatPr defaultRowHeight="14.4"/>
  <cols>
    <col min="1" max="1" width="24.33203125" bestFit="1" customWidth="1"/>
    <col min="2" max="2" width="15" customWidth="1"/>
    <col min="3" max="3" width="16.6640625" customWidth="1"/>
    <col min="4" max="4" width="8.5546875" customWidth="1"/>
    <col min="5" max="5" width="12" bestFit="1" customWidth="1"/>
  </cols>
  <sheetData>
    <row r="1" spans="1:5" s="1" customFormat="1" ht="28.8">
      <c r="B1" s="1" t="s">
        <v>14</v>
      </c>
      <c r="C1" s="1" t="s">
        <v>15</v>
      </c>
      <c r="D1" s="1" t="s">
        <v>16</v>
      </c>
      <c r="E1" s="1" t="s">
        <v>150</v>
      </c>
    </row>
    <row r="2" spans="1:5">
      <c r="A2" t="s">
        <v>151</v>
      </c>
      <c r="B2">
        <v>2000</v>
      </c>
      <c r="C2">
        <v>130</v>
      </c>
      <c r="D2">
        <v>100</v>
      </c>
    </row>
    <row r="3" spans="1:5">
      <c r="A3" t="s">
        <v>152</v>
      </c>
      <c r="B3">
        <v>130</v>
      </c>
      <c r="C3">
        <v>180</v>
      </c>
      <c r="D3">
        <v>80</v>
      </c>
      <c r="E3" s="6">
        <f t="shared" ref="E3:E24" si="0">$E$26/(C3/100)</f>
        <v>190.16111111111113</v>
      </c>
    </row>
    <row r="4" spans="1:5">
      <c r="A4" t="s">
        <v>153</v>
      </c>
      <c r="B4">
        <v>96</v>
      </c>
      <c r="C4">
        <v>96</v>
      </c>
      <c r="D4">
        <v>96</v>
      </c>
      <c r="E4" s="6">
        <f t="shared" si="0"/>
        <v>356.55208333333337</v>
      </c>
    </row>
    <row r="5" spans="1:5">
      <c r="A5" t="s">
        <v>154</v>
      </c>
      <c r="B5">
        <v>75</v>
      </c>
      <c r="C5">
        <v>171</v>
      </c>
      <c r="D5">
        <v>95.5</v>
      </c>
      <c r="E5" s="6">
        <f t="shared" si="0"/>
        <v>200.16959064327486</v>
      </c>
    </row>
    <row r="6" spans="1:5">
      <c r="A6" t="s">
        <v>155</v>
      </c>
      <c r="B6">
        <v>75</v>
      </c>
      <c r="C6">
        <v>180</v>
      </c>
      <c r="D6">
        <v>92</v>
      </c>
      <c r="E6" s="6">
        <f t="shared" si="0"/>
        <v>190.16111111111113</v>
      </c>
    </row>
    <row r="7" spans="1:5">
      <c r="A7" t="s">
        <v>156</v>
      </c>
      <c r="B7">
        <v>140</v>
      </c>
      <c r="C7">
        <v>200</v>
      </c>
      <c r="D7">
        <v>100</v>
      </c>
      <c r="E7" s="6">
        <f t="shared" si="0"/>
        <v>171.14500000000001</v>
      </c>
    </row>
    <row r="8" spans="1:5">
      <c r="A8" t="s">
        <v>157</v>
      </c>
      <c r="B8">
        <v>50</v>
      </c>
      <c r="C8">
        <v>60</v>
      </c>
      <c r="D8">
        <v>95</v>
      </c>
      <c r="E8" s="6">
        <f t="shared" si="0"/>
        <v>570.48333333333335</v>
      </c>
    </row>
    <row r="9" spans="1:5">
      <c r="A9" t="s">
        <v>158</v>
      </c>
      <c r="B9">
        <v>50</v>
      </c>
      <c r="C9">
        <v>60</v>
      </c>
      <c r="D9">
        <v>80</v>
      </c>
      <c r="E9" s="6">
        <f t="shared" si="0"/>
        <v>570.48333333333335</v>
      </c>
    </row>
    <row r="10" spans="1:5">
      <c r="A10" t="s">
        <v>159</v>
      </c>
      <c r="B10">
        <v>0</v>
      </c>
      <c r="C10">
        <v>25</v>
      </c>
      <c r="D10">
        <v>100</v>
      </c>
      <c r="E10" s="6">
        <f t="shared" si="0"/>
        <v>1369.16</v>
      </c>
    </row>
    <row r="11" spans="1:5">
      <c r="A11" t="s">
        <v>160</v>
      </c>
      <c r="B11">
        <v>40</v>
      </c>
      <c r="C11">
        <v>100</v>
      </c>
      <c r="D11">
        <v>97</v>
      </c>
      <c r="E11" s="6">
        <f t="shared" si="0"/>
        <v>342.29</v>
      </c>
    </row>
    <row r="12" spans="1:5">
      <c r="A12" t="s">
        <v>161</v>
      </c>
      <c r="B12">
        <v>16</v>
      </c>
      <c r="C12">
        <v>100</v>
      </c>
      <c r="D12">
        <v>100</v>
      </c>
      <c r="E12" s="6">
        <f t="shared" si="0"/>
        <v>342.29</v>
      </c>
    </row>
    <row r="13" spans="1:5">
      <c r="A13" t="s">
        <v>162</v>
      </c>
      <c r="B13">
        <v>90</v>
      </c>
      <c r="C13">
        <v>100</v>
      </c>
      <c r="D13">
        <v>95</v>
      </c>
      <c r="E13" s="6">
        <f t="shared" si="0"/>
        <v>342.29</v>
      </c>
    </row>
    <row r="14" spans="1:5">
      <c r="A14" t="s">
        <v>163</v>
      </c>
      <c r="B14">
        <v>15</v>
      </c>
      <c r="C14">
        <v>25</v>
      </c>
      <c r="D14">
        <v>95</v>
      </c>
      <c r="E14" s="6">
        <f t="shared" si="0"/>
        <v>1369.16</v>
      </c>
    </row>
    <row r="15" spans="1:5">
      <c r="A15" t="s">
        <v>164</v>
      </c>
      <c r="B15">
        <v>60</v>
      </c>
      <c r="C15">
        <v>0</v>
      </c>
      <c r="D15">
        <v>95</v>
      </c>
      <c r="E15" s="6"/>
    </row>
    <row r="16" spans="1:5">
      <c r="A16" t="s">
        <v>165</v>
      </c>
      <c r="B16">
        <v>65</v>
      </c>
      <c r="C16">
        <v>65</v>
      </c>
      <c r="D16">
        <v>68.5</v>
      </c>
      <c r="E16" s="6">
        <f t="shared" si="0"/>
        <v>526.6</v>
      </c>
    </row>
    <row r="17" spans="1:6">
      <c r="A17" t="s">
        <v>166</v>
      </c>
      <c r="B17">
        <v>130</v>
      </c>
      <c r="C17">
        <v>180</v>
      </c>
      <c r="D17">
        <v>80</v>
      </c>
      <c r="E17" s="6">
        <f t="shared" si="0"/>
        <v>190.16111111111113</v>
      </c>
    </row>
    <row r="18" spans="1:6">
      <c r="A18" t="s">
        <v>167</v>
      </c>
      <c r="B18">
        <v>60</v>
      </c>
      <c r="C18">
        <v>25</v>
      </c>
      <c r="D18">
        <v>96</v>
      </c>
      <c r="E18" s="6">
        <f t="shared" si="0"/>
        <v>1369.16</v>
      </c>
    </row>
    <row r="19" spans="1:6">
      <c r="A19" t="s">
        <v>168</v>
      </c>
      <c r="B19">
        <v>92</v>
      </c>
      <c r="C19">
        <v>92</v>
      </c>
      <c r="D19">
        <v>92</v>
      </c>
      <c r="E19" s="6">
        <f t="shared" si="0"/>
        <v>372.05434782608694</v>
      </c>
    </row>
    <row r="20" spans="1:6">
      <c r="A20" t="s">
        <v>169</v>
      </c>
      <c r="B20">
        <v>100</v>
      </c>
      <c r="C20">
        <v>100</v>
      </c>
      <c r="D20">
        <v>99.5</v>
      </c>
      <c r="E20" s="6">
        <f t="shared" si="0"/>
        <v>342.29</v>
      </c>
    </row>
    <row r="21" spans="1:6">
      <c r="A21" t="s">
        <v>170</v>
      </c>
      <c r="B21">
        <v>60</v>
      </c>
      <c r="C21">
        <v>300</v>
      </c>
      <c r="D21">
        <v>98</v>
      </c>
      <c r="E21" s="6">
        <f t="shared" si="0"/>
        <v>114.09666666666668</v>
      </c>
    </row>
    <row r="22" spans="1:6">
      <c r="A22" t="s">
        <v>171</v>
      </c>
      <c r="B22">
        <v>200</v>
      </c>
      <c r="C22">
        <v>0</v>
      </c>
      <c r="D22">
        <v>100</v>
      </c>
      <c r="E22" s="6"/>
    </row>
    <row r="23" spans="1:6">
      <c r="A23" t="s">
        <v>172</v>
      </c>
      <c r="B23">
        <v>32000</v>
      </c>
      <c r="C23">
        <v>90</v>
      </c>
      <c r="D23">
        <v>98</v>
      </c>
      <c r="E23" s="6">
        <f t="shared" si="0"/>
        <v>380.32222222222225</v>
      </c>
    </row>
    <row r="24" spans="1:6">
      <c r="A24" t="s">
        <v>173</v>
      </c>
      <c r="B24">
        <v>125</v>
      </c>
      <c r="C24">
        <v>100</v>
      </c>
      <c r="D24">
        <v>77</v>
      </c>
      <c r="E24" s="6">
        <f t="shared" si="0"/>
        <v>342.29</v>
      </c>
    </row>
    <row r="25" spans="1:6">
      <c r="A25" t="s">
        <v>174</v>
      </c>
      <c r="B25">
        <v>100</v>
      </c>
      <c r="C25">
        <v>200</v>
      </c>
      <c r="D25">
        <v>95</v>
      </c>
      <c r="E25" s="6">
        <f>$E$26/(C25/100)</f>
        <v>171.14500000000001</v>
      </c>
      <c r="F25">
        <f>$F$26/(C25/100)</f>
        <v>171.14500000000001</v>
      </c>
    </row>
    <row r="26" spans="1:6">
      <c r="A26" t="s">
        <v>175</v>
      </c>
      <c r="C26">
        <v>100</v>
      </c>
      <c r="E26" s="6">
        <v>342.29</v>
      </c>
      <c r="F26">
        <v>342.29</v>
      </c>
    </row>
  </sheetData>
  <phoneticPr fontId="6" type="noConversion"/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5"/>
  <sheetViews>
    <sheetView workbookViewId="0">
      <pane ySplit="1" topLeftCell="A5" activePane="bottomLeft" state="frozen"/>
      <selection pane="bottomLeft" activeCell="C6" sqref="C6"/>
    </sheetView>
  </sheetViews>
  <sheetFormatPr defaultRowHeight="14.4"/>
  <cols>
    <col min="1" max="1" width="27.6640625" bestFit="1" customWidth="1"/>
    <col min="2" max="2" width="7.33203125" bestFit="1" customWidth="1"/>
    <col min="3" max="3" width="8.33203125" bestFit="1" customWidth="1"/>
  </cols>
  <sheetData>
    <row r="1" spans="1:6" ht="28.8">
      <c r="A1" s="1" t="s">
        <v>49</v>
      </c>
      <c r="B1" s="1" t="s">
        <v>17</v>
      </c>
      <c r="C1" s="1" t="s">
        <v>18</v>
      </c>
      <c r="D1" s="1" t="s">
        <v>16</v>
      </c>
      <c r="E1" s="1" t="s">
        <v>176</v>
      </c>
      <c r="F1" s="1" t="s">
        <v>177</v>
      </c>
    </row>
    <row r="2" spans="1:6">
      <c r="A2" t="s">
        <v>178</v>
      </c>
      <c r="B2">
        <v>7.5</v>
      </c>
      <c r="C2">
        <v>18</v>
      </c>
      <c r="D2">
        <v>25.5</v>
      </c>
    </row>
    <row r="3" spans="1:6">
      <c r="A3" t="s">
        <v>179</v>
      </c>
      <c r="B3">
        <v>7.4</v>
      </c>
      <c r="C3">
        <v>20</v>
      </c>
      <c r="D3">
        <v>27.4</v>
      </c>
    </row>
    <row r="4" spans="1:6">
      <c r="A4" t="s">
        <v>180</v>
      </c>
      <c r="B4">
        <v>6.9</v>
      </c>
      <c r="C4">
        <v>25</v>
      </c>
      <c r="D4">
        <v>31.9</v>
      </c>
    </row>
    <row r="5" spans="1:6">
      <c r="A5" t="s">
        <v>64</v>
      </c>
      <c r="B5">
        <v>12.5</v>
      </c>
      <c r="C5">
        <v>6</v>
      </c>
      <c r="F5">
        <v>65</v>
      </c>
    </row>
    <row r="6" spans="1:6">
      <c r="A6" t="s">
        <v>181</v>
      </c>
      <c r="B6">
        <v>3</v>
      </c>
      <c r="C6">
        <v>65</v>
      </c>
      <c r="D6">
        <v>32</v>
      </c>
    </row>
    <row r="7" spans="1:6">
      <c r="A7" t="s">
        <v>182</v>
      </c>
      <c r="B7">
        <v>5.5</v>
      </c>
      <c r="C7">
        <v>40</v>
      </c>
      <c r="D7">
        <v>45.5</v>
      </c>
    </row>
    <row r="8" spans="1:6">
      <c r="A8" t="s">
        <v>183</v>
      </c>
      <c r="B8">
        <v>5.0999999999999996</v>
      </c>
      <c r="C8">
        <v>45</v>
      </c>
      <c r="D8">
        <v>50.1</v>
      </c>
    </row>
    <row r="9" spans="1:6">
      <c r="A9" t="s">
        <v>184</v>
      </c>
      <c r="B9">
        <v>0</v>
      </c>
      <c r="C9">
        <v>100</v>
      </c>
      <c r="D9">
        <v>100</v>
      </c>
    </row>
    <row r="10" spans="1:6">
      <c r="A10" t="s">
        <v>20</v>
      </c>
      <c r="B10">
        <v>7</v>
      </c>
      <c r="C10">
        <v>8</v>
      </c>
      <c r="D10">
        <v>55</v>
      </c>
    </row>
    <row r="11" spans="1:6">
      <c r="A11" t="s">
        <v>185</v>
      </c>
      <c r="B11">
        <v>12.3</v>
      </c>
      <c r="C11">
        <v>3.7</v>
      </c>
      <c r="D11">
        <v>16</v>
      </c>
    </row>
    <row r="12" spans="1:6">
      <c r="A12" t="s">
        <v>186</v>
      </c>
      <c r="B12">
        <v>11</v>
      </c>
      <c r="C12">
        <v>6.85</v>
      </c>
      <c r="D12">
        <v>17.899999999999999</v>
      </c>
    </row>
    <row r="13" spans="1:6">
      <c r="A13" t="s">
        <v>187</v>
      </c>
      <c r="B13">
        <v>9</v>
      </c>
      <c r="C13">
        <v>0</v>
      </c>
      <c r="D13">
        <v>9</v>
      </c>
    </row>
    <row r="14" spans="1:6">
      <c r="A14" t="s">
        <v>188</v>
      </c>
      <c r="B14">
        <v>97</v>
      </c>
      <c r="C14">
        <v>0</v>
      </c>
      <c r="D14">
        <v>97</v>
      </c>
    </row>
    <row r="15" spans="1:6">
      <c r="A15" t="s">
        <v>189</v>
      </c>
      <c r="B15">
        <v>70</v>
      </c>
      <c r="C15">
        <v>26</v>
      </c>
      <c r="D15">
        <v>96</v>
      </c>
    </row>
    <row r="16" spans="1:6">
      <c r="A16" t="s">
        <v>190</v>
      </c>
      <c r="B16">
        <v>9</v>
      </c>
      <c r="C16">
        <v>3</v>
      </c>
      <c r="D16">
        <v>12</v>
      </c>
    </row>
    <row r="17" spans="1:5">
      <c r="A17" t="s">
        <v>191</v>
      </c>
      <c r="B17">
        <v>8.4</v>
      </c>
      <c r="C17">
        <v>3.6</v>
      </c>
      <c r="D17">
        <v>12</v>
      </c>
    </row>
    <row r="18" spans="1:5">
      <c r="A18" t="s">
        <v>192</v>
      </c>
      <c r="B18">
        <v>8.8000000000000007</v>
      </c>
      <c r="C18">
        <v>4</v>
      </c>
      <c r="D18">
        <v>12.8</v>
      </c>
    </row>
    <row r="19" spans="1:5">
      <c r="A19" t="s">
        <v>193</v>
      </c>
      <c r="B19">
        <v>9</v>
      </c>
      <c r="C19">
        <v>4.5</v>
      </c>
      <c r="D19">
        <v>13.4</v>
      </c>
    </row>
    <row r="20" spans="1:5">
      <c r="A20" t="s">
        <v>194</v>
      </c>
      <c r="B20">
        <v>9.1</v>
      </c>
      <c r="C20">
        <v>5</v>
      </c>
      <c r="D20">
        <v>14.1</v>
      </c>
    </row>
    <row r="21" spans="1:5">
      <c r="A21" t="s">
        <v>195</v>
      </c>
      <c r="B21">
        <v>8.6</v>
      </c>
      <c r="C21">
        <v>1.5</v>
      </c>
      <c r="D21">
        <v>10.199999999999999</v>
      </c>
    </row>
    <row r="22" spans="1:5">
      <c r="A22" t="s">
        <v>196</v>
      </c>
      <c r="B22">
        <v>2</v>
      </c>
      <c r="C22">
        <v>82</v>
      </c>
      <c r="D22">
        <v>84</v>
      </c>
    </row>
    <row r="23" spans="1:5">
      <c r="A23" t="s">
        <v>197</v>
      </c>
      <c r="B23">
        <v>0</v>
      </c>
      <c r="C23">
        <v>99</v>
      </c>
      <c r="D23">
        <v>99</v>
      </c>
    </row>
    <row r="24" spans="1:5">
      <c r="A24" t="s">
        <v>198</v>
      </c>
      <c r="C24">
        <v>32</v>
      </c>
      <c r="E24">
        <v>18</v>
      </c>
    </row>
    <row r="25" spans="1:5">
      <c r="A25" t="s">
        <v>67</v>
      </c>
      <c r="C25">
        <v>58</v>
      </c>
      <c r="E25">
        <v>42</v>
      </c>
    </row>
  </sheetData>
  <phoneticPr fontId="6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88"/>
  <sheetViews>
    <sheetView workbookViewId="0">
      <selection activeCell="A14" sqref="A14"/>
    </sheetView>
  </sheetViews>
  <sheetFormatPr defaultRowHeight="14.4"/>
  <cols>
    <col min="1" max="1" width="64.33203125" customWidth="1"/>
    <col min="2" max="2" width="12.6640625" style="5" bestFit="1" customWidth="1"/>
    <col min="3" max="3" width="12.6640625" bestFit="1" customWidth="1"/>
    <col min="4" max="4" width="12" style="5" customWidth="1"/>
    <col min="5" max="5" width="12.6640625" bestFit="1" customWidth="1"/>
    <col min="6" max="6" width="9.33203125" style="5"/>
    <col min="7" max="7" width="8" customWidth="1"/>
    <col min="8" max="8" width="3" bestFit="1" customWidth="1"/>
    <col min="9" max="9" width="4" bestFit="1" customWidth="1"/>
    <col min="10" max="10" width="3" bestFit="1" customWidth="1"/>
  </cols>
  <sheetData>
    <row r="1" spans="1:7" s="32" customFormat="1" ht="36">
      <c r="A1" s="33" t="s">
        <v>199</v>
      </c>
      <c r="B1" s="34" t="s">
        <v>200</v>
      </c>
      <c r="C1" s="33" t="s">
        <v>201</v>
      </c>
      <c r="D1" s="34" t="s">
        <v>202</v>
      </c>
      <c r="E1" s="33" t="s">
        <v>203</v>
      </c>
      <c r="F1" s="34" t="s">
        <v>204</v>
      </c>
      <c r="G1" s="33" t="s">
        <v>48</v>
      </c>
    </row>
    <row r="2" spans="1:7">
      <c r="A2" s="35" t="s">
        <v>30</v>
      </c>
      <c r="B2" s="36">
        <v>100</v>
      </c>
      <c r="C2" s="35"/>
      <c r="D2" s="36"/>
      <c r="E2" s="35"/>
      <c r="F2" s="36"/>
      <c r="G2" s="35"/>
    </row>
    <row r="3" spans="1:7">
      <c r="A3" s="35" t="s">
        <v>205</v>
      </c>
      <c r="B3" s="36">
        <v>88</v>
      </c>
      <c r="C3" s="35">
        <v>3.6</v>
      </c>
      <c r="D3" s="36"/>
      <c r="E3" s="35">
        <v>8.4</v>
      </c>
      <c r="F3" s="36">
        <v>12</v>
      </c>
      <c r="G3" s="35">
        <v>4</v>
      </c>
    </row>
    <row r="4" spans="1:7">
      <c r="A4" s="35" t="s">
        <v>206</v>
      </c>
      <c r="B4" s="36">
        <v>89.2</v>
      </c>
      <c r="C4" s="35">
        <v>1.8</v>
      </c>
      <c r="D4" s="36"/>
      <c r="E4" s="35">
        <v>8.4</v>
      </c>
      <c r="F4" s="36">
        <v>10.199999999999999</v>
      </c>
      <c r="G4" s="35">
        <v>4</v>
      </c>
    </row>
    <row r="5" spans="1:7">
      <c r="A5" s="35" t="s">
        <v>207</v>
      </c>
      <c r="B5" s="36">
        <v>91.6</v>
      </c>
      <c r="C5" s="35"/>
      <c r="D5" s="36"/>
      <c r="E5" s="35">
        <v>8.4</v>
      </c>
      <c r="F5" s="36">
        <v>10.199999999999999</v>
      </c>
      <c r="G5" s="35">
        <v>4</v>
      </c>
    </row>
    <row r="6" spans="1:7">
      <c r="A6" s="35" t="s">
        <v>208</v>
      </c>
      <c r="B6" s="36">
        <v>59</v>
      </c>
      <c r="C6" s="35">
        <v>35</v>
      </c>
      <c r="D6" s="36"/>
      <c r="E6" s="35">
        <v>6</v>
      </c>
      <c r="F6" s="36">
        <v>41</v>
      </c>
      <c r="G6" s="35">
        <v>3</v>
      </c>
    </row>
    <row r="7" spans="1:7">
      <c r="A7" s="35" t="s">
        <v>209</v>
      </c>
      <c r="B7" s="36">
        <v>58</v>
      </c>
      <c r="C7" s="35">
        <v>36</v>
      </c>
      <c r="D7" s="36"/>
      <c r="E7" s="35">
        <v>6</v>
      </c>
      <c r="F7" s="36">
        <v>42</v>
      </c>
      <c r="G7" s="35">
        <v>3</v>
      </c>
    </row>
    <row r="8" spans="1:7">
      <c r="A8" s="35" t="s">
        <v>210</v>
      </c>
      <c r="B8" s="36">
        <v>56</v>
      </c>
      <c r="C8" s="35">
        <v>38</v>
      </c>
      <c r="D8" s="36"/>
      <c r="E8" s="35">
        <v>6</v>
      </c>
      <c r="F8" s="36">
        <v>44</v>
      </c>
      <c r="G8" s="35">
        <v>3</v>
      </c>
    </row>
    <row r="9" spans="1:7">
      <c r="A9" s="35" t="s">
        <v>211</v>
      </c>
      <c r="B9" s="36">
        <v>76</v>
      </c>
      <c r="C9" s="35">
        <v>18</v>
      </c>
      <c r="D9" s="36"/>
      <c r="E9" s="35">
        <v>6</v>
      </c>
      <c r="F9" s="36">
        <v>24</v>
      </c>
      <c r="G9" s="35">
        <v>3</v>
      </c>
    </row>
    <row r="10" spans="1:7">
      <c r="A10" s="35" t="s">
        <v>212</v>
      </c>
      <c r="B10" s="36"/>
      <c r="C10" s="35"/>
      <c r="D10" s="36"/>
      <c r="E10" s="35">
        <v>100</v>
      </c>
      <c r="F10" s="36">
        <v>100</v>
      </c>
      <c r="G10" s="35">
        <v>50</v>
      </c>
    </row>
    <row r="11" spans="1:7">
      <c r="A11" s="35" t="s">
        <v>213</v>
      </c>
      <c r="B11" s="36"/>
      <c r="C11" s="35">
        <v>22</v>
      </c>
      <c r="D11" s="36"/>
      <c r="E11" s="35">
        <v>78</v>
      </c>
      <c r="F11" s="36">
        <v>100</v>
      </c>
      <c r="G11" s="35">
        <v>39</v>
      </c>
    </row>
    <row r="12" spans="1:7">
      <c r="A12" s="35" t="s">
        <v>214</v>
      </c>
      <c r="B12" s="36"/>
      <c r="C12" s="35">
        <v>11</v>
      </c>
      <c r="D12" s="36"/>
      <c r="E12" s="35">
        <v>89</v>
      </c>
      <c r="F12" s="36">
        <v>100</v>
      </c>
      <c r="G12" s="35">
        <v>45</v>
      </c>
    </row>
    <row r="13" spans="1:7">
      <c r="A13" s="35" t="s">
        <v>215</v>
      </c>
      <c r="B13" s="36"/>
      <c r="C13" s="35"/>
      <c r="D13" s="36">
        <v>70</v>
      </c>
      <c r="E13" s="35"/>
      <c r="F13" s="36">
        <v>100</v>
      </c>
      <c r="G13" s="35">
        <v>190</v>
      </c>
    </row>
    <row r="14" spans="1:7">
      <c r="A14" s="35" t="s">
        <v>216</v>
      </c>
      <c r="B14" s="36">
        <v>25</v>
      </c>
      <c r="C14" s="35"/>
      <c r="D14" s="36">
        <v>130</v>
      </c>
      <c r="E14" s="35"/>
      <c r="F14" s="36">
        <v>75</v>
      </c>
      <c r="G14" s="35">
        <v>190</v>
      </c>
    </row>
    <row r="15" spans="1:7">
      <c r="A15" s="35" t="s">
        <v>217</v>
      </c>
      <c r="B15" s="36">
        <v>20</v>
      </c>
      <c r="C15" s="35"/>
      <c r="D15" s="36">
        <v>130</v>
      </c>
      <c r="E15" s="35"/>
      <c r="F15" s="36">
        <v>80</v>
      </c>
      <c r="G15" s="35">
        <v>190</v>
      </c>
    </row>
    <row r="16" spans="1:7">
      <c r="A16" s="35" t="s">
        <v>218</v>
      </c>
      <c r="B16" s="36"/>
      <c r="C16" s="35"/>
      <c r="D16" s="36">
        <v>100</v>
      </c>
      <c r="E16" s="35"/>
      <c r="F16" s="36">
        <v>100</v>
      </c>
      <c r="G16" s="35">
        <v>100</v>
      </c>
    </row>
    <row r="17" spans="1:7">
      <c r="A17" s="35" t="s">
        <v>219</v>
      </c>
      <c r="B17" s="36"/>
      <c r="C17" s="35"/>
      <c r="D17" s="36">
        <v>10</v>
      </c>
      <c r="E17" s="35"/>
      <c r="F17" s="36">
        <v>100</v>
      </c>
      <c r="G17" s="35"/>
    </row>
    <row r="18" spans="1:7">
      <c r="A18" s="35" t="s">
        <v>220</v>
      </c>
      <c r="B18" s="36"/>
      <c r="C18" s="35"/>
      <c r="D18" s="36"/>
      <c r="E18" s="35"/>
      <c r="F18" s="36">
        <v>100</v>
      </c>
      <c r="G18" s="35"/>
    </row>
    <row r="19" spans="1:7">
      <c r="A19" s="35" t="s">
        <v>221</v>
      </c>
      <c r="B19" s="36"/>
      <c r="C19" s="35"/>
      <c r="D19" s="36"/>
      <c r="E19" s="35"/>
      <c r="F19" s="36">
        <v>100</v>
      </c>
      <c r="G19" s="35"/>
    </row>
    <row r="20" spans="1:7">
      <c r="A20" s="35" t="s">
        <v>222</v>
      </c>
      <c r="B20" s="36">
        <v>100</v>
      </c>
      <c r="C20" s="35"/>
      <c r="D20" s="36"/>
      <c r="E20" s="35"/>
      <c r="F20" s="36"/>
      <c r="G20" s="35"/>
    </row>
    <row r="21" spans="1:7">
      <c r="A21" s="35" t="s">
        <v>223</v>
      </c>
      <c r="B21" s="36">
        <v>100</v>
      </c>
      <c r="C21" s="35"/>
      <c r="D21" s="36"/>
      <c r="E21" s="35"/>
      <c r="F21" s="36"/>
      <c r="G21" s="35"/>
    </row>
    <row r="22" spans="1:7">
      <c r="A22" s="35" t="s">
        <v>224</v>
      </c>
      <c r="B22" s="36">
        <v>100</v>
      </c>
      <c r="C22" s="35"/>
      <c r="D22" s="36"/>
      <c r="E22" s="35"/>
      <c r="F22" s="36"/>
      <c r="G22" s="35"/>
    </row>
    <row r="23" spans="1:7">
      <c r="A23" s="35" t="s">
        <v>66</v>
      </c>
      <c r="B23" s="36">
        <v>44</v>
      </c>
      <c r="C23" s="35">
        <v>30</v>
      </c>
      <c r="D23" s="36"/>
      <c r="E23" s="35"/>
      <c r="F23" s="36">
        <v>56</v>
      </c>
      <c r="G23" s="35"/>
    </row>
    <row r="24" spans="1:7">
      <c r="A24" s="35" t="s">
        <v>225</v>
      </c>
      <c r="B24" s="36"/>
      <c r="C24" s="35"/>
      <c r="D24" s="36">
        <v>100</v>
      </c>
      <c r="E24" s="35"/>
      <c r="F24" s="36">
        <v>100</v>
      </c>
      <c r="G24" s="35">
        <v>100</v>
      </c>
    </row>
    <row r="25" spans="1:7">
      <c r="A25" s="35" t="s">
        <v>226</v>
      </c>
      <c r="B25" s="36"/>
      <c r="C25" s="35"/>
      <c r="D25" s="36">
        <v>16</v>
      </c>
      <c r="E25" s="35"/>
      <c r="F25" s="36">
        <v>100</v>
      </c>
      <c r="G25" s="35">
        <v>100</v>
      </c>
    </row>
    <row r="26" spans="1:7">
      <c r="A26" s="35" t="s">
        <v>227</v>
      </c>
      <c r="B26" s="36">
        <v>85</v>
      </c>
      <c r="C26" s="35">
        <v>3.6</v>
      </c>
      <c r="D26" s="36"/>
      <c r="E26" s="35">
        <v>9.6</v>
      </c>
      <c r="F26" s="36">
        <v>15</v>
      </c>
      <c r="G26" s="35">
        <v>5</v>
      </c>
    </row>
    <row r="27" spans="1:7">
      <c r="A27" s="35" t="s">
        <v>228</v>
      </c>
      <c r="B27" s="36">
        <v>86.8</v>
      </c>
      <c r="C27" s="35">
        <v>1.8</v>
      </c>
      <c r="D27" s="36"/>
      <c r="E27" s="35">
        <v>9.6</v>
      </c>
      <c r="F27" s="36">
        <v>13.2</v>
      </c>
      <c r="G27" s="35">
        <v>5</v>
      </c>
    </row>
    <row r="28" spans="1:7">
      <c r="A28" s="35" t="s">
        <v>229</v>
      </c>
      <c r="B28" s="36">
        <v>87.6</v>
      </c>
      <c r="C28" s="35"/>
      <c r="D28" s="36"/>
      <c r="E28" s="35">
        <v>9.6</v>
      </c>
      <c r="F28" s="36">
        <v>12.4</v>
      </c>
      <c r="G28" s="35">
        <v>5</v>
      </c>
    </row>
    <row r="29" spans="1:7">
      <c r="A29" s="35" t="s">
        <v>230</v>
      </c>
      <c r="B29" s="36">
        <v>95</v>
      </c>
      <c r="C29" s="35"/>
      <c r="D29" s="36">
        <v>5</v>
      </c>
      <c r="E29" s="35"/>
      <c r="F29" s="36">
        <v>5</v>
      </c>
      <c r="G29" s="35">
        <v>5</v>
      </c>
    </row>
    <row r="30" spans="1:7">
      <c r="A30" s="35" t="s">
        <v>231</v>
      </c>
      <c r="B30" s="36">
        <v>95</v>
      </c>
      <c r="C30" s="35"/>
      <c r="D30" s="36">
        <v>5</v>
      </c>
      <c r="E30" s="35"/>
      <c r="F30" s="36">
        <v>5</v>
      </c>
      <c r="G30" s="35">
        <v>5</v>
      </c>
    </row>
    <row r="31" spans="1:7">
      <c r="A31" s="35" t="s">
        <v>232</v>
      </c>
      <c r="B31" s="36">
        <v>89</v>
      </c>
      <c r="C31" s="35"/>
      <c r="D31" s="36">
        <v>11</v>
      </c>
      <c r="E31" s="35"/>
      <c r="F31" s="36">
        <v>11</v>
      </c>
      <c r="G31" s="35">
        <v>11</v>
      </c>
    </row>
    <row r="32" spans="1:7">
      <c r="A32" s="35" t="s">
        <v>233</v>
      </c>
      <c r="B32" s="36">
        <v>46</v>
      </c>
      <c r="C32" s="35"/>
      <c r="D32" s="36">
        <v>14</v>
      </c>
      <c r="E32" s="35"/>
      <c r="F32" s="36">
        <v>14</v>
      </c>
      <c r="G32" s="35">
        <v>14</v>
      </c>
    </row>
    <row r="33" spans="1:7">
      <c r="A33" s="35" t="s">
        <v>234</v>
      </c>
      <c r="B33" s="36">
        <v>91</v>
      </c>
      <c r="C33" s="35"/>
      <c r="D33" s="36">
        <v>9</v>
      </c>
      <c r="E33" s="35"/>
      <c r="F33" s="36">
        <v>9</v>
      </c>
      <c r="G33" s="35">
        <v>9</v>
      </c>
    </row>
    <row r="34" spans="1:7">
      <c r="A34" s="35" t="s">
        <v>235</v>
      </c>
      <c r="B34" s="36">
        <v>80</v>
      </c>
      <c r="C34" s="35"/>
      <c r="D34" s="36">
        <v>20</v>
      </c>
      <c r="E34" s="35"/>
      <c r="F34" s="36">
        <v>20</v>
      </c>
      <c r="G34" s="35">
        <v>20</v>
      </c>
    </row>
    <row r="35" spans="1:7">
      <c r="A35" s="35" t="s">
        <v>236</v>
      </c>
      <c r="B35" s="36">
        <v>87</v>
      </c>
      <c r="C35" s="35"/>
      <c r="D35" s="36">
        <v>13</v>
      </c>
      <c r="E35" s="35"/>
      <c r="F35" s="36">
        <v>13</v>
      </c>
      <c r="G35" s="35">
        <v>13</v>
      </c>
    </row>
    <row r="36" spans="1:7">
      <c r="A36" s="35" t="s">
        <v>237</v>
      </c>
      <c r="B36" s="36">
        <v>89</v>
      </c>
      <c r="C36" s="35"/>
      <c r="D36" s="36">
        <v>11</v>
      </c>
      <c r="E36" s="35"/>
      <c r="F36" s="36">
        <v>11</v>
      </c>
      <c r="G36" s="35">
        <v>11</v>
      </c>
    </row>
    <row r="37" spans="1:7">
      <c r="A37" s="35" t="s">
        <v>238</v>
      </c>
      <c r="B37" s="36">
        <v>87</v>
      </c>
      <c r="C37" s="35"/>
      <c r="D37" s="36">
        <v>13</v>
      </c>
      <c r="E37" s="35"/>
      <c r="F37" s="36">
        <v>13</v>
      </c>
      <c r="G37" s="35">
        <v>13</v>
      </c>
    </row>
    <row r="38" spans="1:7">
      <c r="A38" s="35" t="s">
        <v>239</v>
      </c>
      <c r="B38" s="36">
        <v>88</v>
      </c>
      <c r="C38" s="35"/>
      <c r="D38" s="36">
        <v>12</v>
      </c>
      <c r="E38" s="35"/>
      <c r="F38" s="36">
        <v>12</v>
      </c>
      <c r="G38" s="35">
        <v>12</v>
      </c>
    </row>
    <row r="39" spans="1:7">
      <c r="A39" s="35" t="s">
        <v>240</v>
      </c>
      <c r="B39" s="36">
        <v>90</v>
      </c>
      <c r="C39" s="35"/>
      <c r="D39" s="36">
        <v>10</v>
      </c>
      <c r="E39" s="35"/>
      <c r="F39" s="36">
        <v>10</v>
      </c>
      <c r="G39" s="35">
        <v>10</v>
      </c>
    </row>
    <row r="40" spans="1:7">
      <c r="A40" s="35" t="s">
        <v>241</v>
      </c>
      <c r="B40" s="36">
        <v>92</v>
      </c>
      <c r="C40" s="35"/>
      <c r="D40" s="36">
        <v>8</v>
      </c>
      <c r="E40" s="35"/>
      <c r="F40" s="36">
        <v>8</v>
      </c>
      <c r="G40" s="35">
        <v>8</v>
      </c>
    </row>
    <row r="41" spans="1:7">
      <c r="A41" s="35" t="s">
        <v>242</v>
      </c>
      <c r="B41" s="36">
        <v>92</v>
      </c>
      <c r="C41" s="35"/>
      <c r="D41" s="36">
        <v>8</v>
      </c>
      <c r="E41" s="35"/>
      <c r="F41" s="36">
        <v>8</v>
      </c>
      <c r="G41" s="35">
        <v>8</v>
      </c>
    </row>
    <row r="42" spans="1:7">
      <c r="A42" s="35" t="s">
        <v>243</v>
      </c>
      <c r="B42" s="36">
        <v>88</v>
      </c>
      <c r="C42" s="35"/>
      <c r="D42" s="36">
        <v>12</v>
      </c>
      <c r="E42" s="35"/>
      <c r="F42" s="36">
        <v>12</v>
      </c>
      <c r="G42" s="35">
        <v>12</v>
      </c>
    </row>
    <row r="43" spans="1:7">
      <c r="A43" s="35" t="s">
        <v>244</v>
      </c>
      <c r="B43" s="36">
        <v>88</v>
      </c>
      <c r="C43" s="35"/>
      <c r="D43" s="36">
        <v>12</v>
      </c>
      <c r="E43" s="35"/>
      <c r="F43" s="36">
        <v>12</v>
      </c>
      <c r="G43" s="35">
        <v>12</v>
      </c>
    </row>
    <row r="44" spans="1:7">
      <c r="A44" s="35" t="s">
        <v>245</v>
      </c>
      <c r="B44" s="36">
        <v>93</v>
      </c>
      <c r="C44" s="35"/>
      <c r="D44" s="36">
        <v>7</v>
      </c>
      <c r="E44" s="35"/>
      <c r="F44" s="36">
        <v>7</v>
      </c>
      <c r="G44" s="35">
        <v>7</v>
      </c>
    </row>
    <row r="45" spans="1:7">
      <c r="A45" s="35" t="s">
        <v>246</v>
      </c>
      <c r="B45" s="36">
        <v>86</v>
      </c>
      <c r="C45" s="35"/>
      <c r="D45" s="36">
        <v>14</v>
      </c>
      <c r="E45" s="35"/>
      <c r="F45" s="36">
        <v>14</v>
      </c>
      <c r="G45" s="35">
        <v>14</v>
      </c>
    </row>
    <row r="46" spans="1:7">
      <c r="A46" s="35" t="s">
        <v>247</v>
      </c>
      <c r="B46" s="36">
        <v>92</v>
      </c>
      <c r="C46" s="35"/>
      <c r="D46" s="36">
        <v>8</v>
      </c>
      <c r="E46" s="35"/>
      <c r="F46" s="36">
        <v>8</v>
      </c>
      <c r="G46" s="35">
        <v>8</v>
      </c>
    </row>
    <row r="47" spans="1:7">
      <c r="A47" s="35" t="s">
        <v>248</v>
      </c>
      <c r="B47" s="36">
        <v>94</v>
      </c>
      <c r="C47" s="35"/>
      <c r="D47" s="36">
        <v>6</v>
      </c>
      <c r="E47" s="35"/>
      <c r="F47" s="36">
        <v>6</v>
      </c>
      <c r="G47" s="35">
        <v>6</v>
      </c>
    </row>
    <row r="48" spans="1:7">
      <c r="A48" s="35" t="s">
        <v>249</v>
      </c>
      <c r="B48" s="36">
        <v>86</v>
      </c>
      <c r="C48" s="35"/>
      <c r="D48" s="36">
        <v>14</v>
      </c>
      <c r="E48" s="35"/>
      <c r="F48" s="36">
        <v>14</v>
      </c>
      <c r="G48" s="35">
        <v>14</v>
      </c>
    </row>
    <row r="49" spans="1:7">
      <c r="A49" s="35" t="s">
        <v>250</v>
      </c>
      <c r="B49" s="36">
        <v>92</v>
      </c>
      <c r="C49" s="35"/>
      <c r="D49" s="36">
        <v>8</v>
      </c>
      <c r="E49" s="35"/>
      <c r="F49" s="36">
        <v>8</v>
      </c>
      <c r="G49" s="35">
        <v>8</v>
      </c>
    </row>
    <row r="50" spans="1:7">
      <c r="A50" s="35" t="s">
        <v>251</v>
      </c>
      <c r="B50" s="36">
        <v>92</v>
      </c>
      <c r="C50" s="35"/>
      <c r="D50" s="36">
        <v>8</v>
      </c>
      <c r="E50" s="35"/>
      <c r="F50" s="36">
        <v>8</v>
      </c>
      <c r="G50" s="35">
        <v>8</v>
      </c>
    </row>
    <row r="51" spans="1:7">
      <c r="A51" s="35" t="s">
        <v>252</v>
      </c>
      <c r="B51" s="36">
        <v>86</v>
      </c>
      <c r="C51" s="35"/>
      <c r="D51" s="36">
        <v>14</v>
      </c>
      <c r="E51" s="35"/>
      <c r="F51" s="36">
        <v>14</v>
      </c>
      <c r="G51" s="35">
        <v>14</v>
      </c>
    </row>
    <row r="52" spans="1:7">
      <c r="A52" s="35" t="s">
        <v>253</v>
      </c>
      <c r="B52" s="36"/>
      <c r="C52" s="35">
        <v>22</v>
      </c>
      <c r="D52" s="36"/>
      <c r="E52" s="35"/>
      <c r="F52" s="36">
        <v>100</v>
      </c>
      <c r="G52" s="35">
        <v>160</v>
      </c>
    </row>
    <row r="53" spans="1:7">
      <c r="A53" s="35" t="s">
        <v>254</v>
      </c>
      <c r="B53" s="36"/>
      <c r="C53" s="35">
        <v>100</v>
      </c>
      <c r="D53" s="36"/>
      <c r="E53" s="35"/>
      <c r="F53" s="36">
        <v>100</v>
      </c>
      <c r="G53" s="35">
        <v>-90</v>
      </c>
    </row>
    <row r="54" spans="1:7">
      <c r="A54" s="35" t="s">
        <v>255</v>
      </c>
      <c r="B54" s="36"/>
      <c r="C54" s="35">
        <v>42</v>
      </c>
      <c r="D54" s="36">
        <v>30</v>
      </c>
      <c r="E54" s="35"/>
      <c r="F54" s="36">
        <v>100</v>
      </c>
      <c r="G54" s="35">
        <v>-58</v>
      </c>
    </row>
    <row r="55" spans="1:7">
      <c r="A55" s="35" t="s">
        <v>256</v>
      </c>
      <c r="B55" s="36"/>
      <c r="C55" s="35">
        <v>40</v>
      </c>
      <c r="D55" s="36">
        <v>35</v>
      </c>
      <c r="E55" s="35"/>
      <c r="F55" s="36">
        <v>100</v>
      </c>
      <c r="G55" s="35">
        <v>46</v>
      </c>
    </row>
    <row r="56" spans="1:7">
      <c r="A56" s="35" t="s">
        <v>257</v>
      </c>
      <c r="B56" s="36"/>
      <c r="C56" s="35">
        <v>38</v>
      </c>
      <c r="D56" s="36">
        <v>40</v>
      </c>
      <c r="E56" s="35"/>
      <c r="F56" s="36">
        <v>100</v>
      </c>
      <c r="G56" s="35">
        <v>-34</v>
      </c>
    </row>
    <row r="57" spans="1:7">
      <c r="A57" s="35" t="s">
        <v>258</v>
      </c>
      <c r="B57" s="36"/>
      <c r="C57" s="35">
        <v>35</v>
      </c>
      <c r="D57" s="36">
        <v>45</v>
      </c>
      <c r="E57" s="35"/>
      <c r="F57" s="36">
        <v>100</v>
      </c>
      <c r="G57" s="35">
        <v>-23</v>
      </c>
    </row>
    <row r="58" spans="1:7">
      <c r="A58" s="35" t="s">
        <v>259</v>
      </c>
      <c r="B58" s="36"/>
      <c r="C58" s="35">
        <v>41</v>
      </c>
      <c r="D58" s="36">
        <v>35</v>
      </c>
      <c r="E58" s="35">
        <v>19</v>
      </c>
      <c r="F58" s="36">
        <v>100</v>
      </c>
      <c r="G58" s="35">
        <v>4</v>
      </c>
    </row>
    <row r="59" spans="1:7">
      <c r="A59" s="35" t="s">
        <v>260</v>
      </c>
      <c r="B59" s="36"/>
      <c r="C59" s="35">
        <v>40</v>
      </c>
      <c r="D59" s="36">
        <v>45</v>
      </c>
      <c r="E59" s="35">
        <v>15</v>
      </c>
      <c r="F59" s="36">
        <v>100</v>
      </c>
      <c r="G59" s="35">
        <v>25</v>
      </c>
    </row>
    <row r="60" spans="1:7">
      <c r="A60" s="35" t="s">
        <v>261</v>
      </c>
      <c r="B60" s="36"/>
      <c r="C60" s="35">
        <v>65</v>
      </c>
      <c r="D60" s="36"/>
      <c r="E60" s="35"/>
      <c r="F60" s="36">
        <v>100</v>
      </c>
      <c r="G60" s="35">
        <v>-91</v>
      </c>
    </row>
    <row r="61" spans="1:7">
      <c r="A61" s="35" t="s">
        <v>262</v>
      </c>
      <c r="B61" s="36"/>
      <c r="C61" s="35">
        <v>60</v>
      </c>
      <c r="D61" s="36"/>
      <c r="E61" s="35"/>
      <c r="F61" s="36">
        <v>100</v>
      </c>
      <c r="G61" s="35">
        <v>-84</v>
      </c>
    </row>
    <row r="62" spans="1:7">
      <c r="A62" s="35" t="s">
        <v>263</v>
      </c>
      <c r="B62" s="36"/>
      <c r="C62" s="35">
        <v>64</v>
      </c>
      <c r="D62" s="36"/>
      <c r="E62" s="35"/>
      <c r="F62" s="36">
        <v>100</v>
      </c>
      <c r="G62" s="35">
        <v>-90</v>
      </c>
    </row>
    <row r="63" spans="1:7">
      <c r="A63" s="35" t="s">
        <v>264</v>
      </c>
      <c r="B63" s="36"/>
      <c r="C63" s="35">
        <v>62</v>
      </c>
      <c r="D63" s="36"/>
      <c r="E63" s="35"/>
      <c r="F63" s="36">
        <v>100</v>
      </c>
      <c r="G63" s="35">
        <v>-87</v>
      </c>
    </row>
    <row r="64" spans="1:7">
      <c r="A64" s="35" t="s">
        <v>265</v>
      </c>
      <c r="B64" s="36"/>
      <c r="C64" s="35">
        <v>50</v>
      </c>
      <c r="D64" s="36"/>
      <c r="E64" s="35"/>
      <c r="F64" s="36">
        <v>100</v>
      </c>
      <c r="G64" s="35">
        <v>-70</v>
      </c>
    </row>
    <row r="65" spans="1:7">
      <c r="A65" s="35" t="s">
        <v>266</v>
      </c>
      <c r="B65" s="36"/>
      <c r="C65" s="35">
        <v>30</v>
      </c>
      <c r="D65" s="36">
        <v>40</v>
      </c>
      <c r="E65" s="35"/>
      <c r="F65" s="36">
        <v>100</v>
      </c>
      <c r="G65" s="35">
        <v>-2</v>
      </c>
    </row>
    <row r="66" spans="1:7">
      <c r="A66" s="35" t="s">
        <v>267</v>
      </c>
      <c r="B66" s="36"/>
      <c r="C66" s="35">
        <v>50</v>
      </c>
      <c r="D66" s="36"/>
      <c r="E66" s="35"/>
      <c r="F66" s="36">
        <v>100</v>
      </c>
      <c r="G66" s="35">
        <v>-70</v>
      </c>
    </row>
    <row r="67" spans="1:7">
      <c r="A67" s="35" t="s">
        <v>268</v>
      </c>
      <c r="B67" s="36"/>
      <c r="C67" s="35"/>
      <c r="D67" s="36"/>
      <c r="E67" s="35"/>
      <c r="F67" s="36">
        <v>100</v>
      </c>
      <c r="G67" s="35">
        <v>100</v>
      </c>
    </row>
    <row r="68" spans="1:7">
      <c r="A68" s="35" t="s">
        <v>269</v>
      </c>
      <c r="B68" s="36">
        <v>86</v>
      </c>
      <c r="C68" s="35"/>
      <c r="D68" s="36">
        <v>3</v>
      </c>
      <c r="E68" s="35"/>
      <c r="F68" s="36">
        <v>14</v>
      </c>
      <c r="G68" s="35">
        <v>2</v>
      </c>
    </row>
    <row r="69" spans="1:7">
      <c r="A69" s="35" t="s">
        <v>270</v>
      </c>
      <c r="B69" s="36">
        <v>90</v>
      </c>
      <c r="C69" s="35"/>
      <c r="D69" s="36">
        <v>6</v>
      </c>
      <c r="E69" s="35"/>
      <c r="F69" s="36">
        <v>10</v>
      </c>
      <c r="G69" s="35">
        <v>3</v>
      </c>
    </row>
    <row r="70" spans="1:7">
      <c r="A70" s="35" t="s">
        <v>271</v>
      </c>
      <c r="B70" s="36">
        <v>90</v>
      </c>
      <c r="C70" s="35"/>
      <c r="D70" s="36">
        <v>1</v>
      </c>
      <c r="E70" s="35"/>
      <c r="F70" s="36">
        <v>10</v>
      </c>
      <c r="G70" s="35">
        <v>1</v>
      </c>
    </row>
    <row r="71" spans="1:7">
      <c r="A71" s="35" t="s">
        <v>272</v>
      </c>
      <c r="B71" s="36">
        <v>94</v>
      </c>
      <c r="C71" s="35"/>
      <c r="D71" s="36">
        <v>2</v>
      </c>
      <c r="E71" s="35"/>
      <c r="F71" s="36">
        <v>6</v>
      </c>
      <c r="G71" s="35">
        <v>1</v>
      </c>
    </row>
    <row r="72" spans="1:7">
      <c r="A72" s="35" t="s">
        <v>273</v>
      </c>
      <c r="B72" s="36">
        <v>94</v>
      </c>
      <c r="C72" s="35"/>
      <c r="D72" s="36">
        <v>2</v>
      </c>
      <c r="E72" s="35"/>
      <c r="F72" s="36">
        <v>6</v>
      </c>
      <c r="G72" s="35">
        <v>1</v>
      </c>
    </row>
    <row r="73" spans="1:7">
      <c r="A73" s="35" t="s">
        <v>274</v>
      </c>
      <c r="B73" s="36">
        <v>94</v>
      </c>
      <c r="C73" s="35"/>
      <c r="D73" s="36">
        <v>1</v>
      </c>
      <c r="E73" s="35"/>
      <c r="F73" s="36">
        <v>6</v>
      </c>
      <c r="G73" s="35">
        <v>1</v>
      </c>
    </row>
    <row r="74" spans="1:7">
      <c r="A74" s="35" t="s">
        <v>275</v>
      </c>
      <c r="B74" s="36">
        <v>85</v>
      </c>
      <c r="C74" s="35">
        <v>3.6</v>
      </c>
      <c r="D74" s="36"/>
      <c r="E74" s="35">
        <v>9.6</v>
      </c>
      <c r="F74" s="36">
        <v>15</v>
      </c>
      <c r="G74" s="35">
        <v>5</v>
      </c>
    </row>
    <row r="75" spans="1:7">
      <c r="A75" s="35" t="s">
        <v>276</v>
      </c>
      <c r="B75" s="36">
        <v>45</v>
      </c>
      <c r="C75" s="35">
        <v>32</v>
      </c>
      <c r="D75" s="36"/>
      <c r="E75" s="35">
        <v>23</v>
      </c>
      <c r="F75" s="36">
        <v>55</v>
      </c>
      <c r="G75" s="35"/>
    </row>
    <row r="76" spans="1:7">
      <c r="A76" s="35" t="s">
        <v>277</v>
      </c>
      <c r="B76" s="36">
        <v>35</v>
      </c>
      <c r="C76" s="35">
        <v>32</v>
      </c>
      <c r="D76" s="36"/>
      <c r="E76" s="35">
        <v>33</v>
      </c>
      <c r="F76" s="36">
        <v>65</v>
      </c>
      <c r="G76" s="35"/>
    </row>
    <row r="77" spans="1:7">
      <c r="A77" s="35" t="s">
        <v>278</v>
      </c>
      <c r="B77" s="36">
        <v>44</v>
      </c>
      <c r="C77" s="35">
        <v>33</v>
      </c>
      <c r="D77" s="36"/>
      <c r="E77" s="35">
        <v>23</v>
      </c>
      <c r="F77" s="36">
        <v>56</v>
      </c>
      <c r="G77" s="35"/>
    </row>
    <row r="78" spans="1:7">
      <c r="A78" s="35" t="s">
        <v>279</v>
      </c>
      <c r="B78" s="36">
        <v>29</v>
      </c>
      <c r="C78" s="35">
        <v>28</v>
      </c>
      <c r="D78" s="36"/>
      <c r="E78" s="35">
        <v>43</v>
      </c>
      <c r="F78" s="36">
        <v>71</v>
      </c>
      <c r="G78" s="35"/>
    </row>
    <row r="79" spans="1:7">
      <c r="A79" s="35" t="s">
        <v>280</v>
      </c>
      <c r="B79" s="36">
        <v>29</v>
      </c>
      <c r="C79" s="35">
        <v>29</v>
      </c>
      <c r="D79" s="36"/>
      <c r="E79" s="35">
        <v>28</v>
      </c>
      <c r="F79" s="36">
        <v>71</v>
      </c>
      <c r="G79" s="35"/>
    </row>
    <row r="80" spans="1:7">
      <c r="A80" s="35" t="s">
        <v>281</v>
      </c>
      <c r="B80" s="36">
        <v>39</v>
      </c>
      <c r="C80" s="35">
        <v>42</v>
      </c>
      <c r="D80" s="36"/>
      <c r="E80" s="35">
        <v>61</v>
      </c>
      <c r="F80" s="36"/>
      <c r="G80" s="35"/>
    </row>
    <row r="81" spans="1:7">
      <c r="A81" s="35" t="s">
        <v>282</v>
      </c>
      <c r="B81" s="36">
        <v>69</v>
      </c>
      <c r="C81" s="35">
        <v>12</v>
      </c>
      <c r="D81" s="36"/>
      <c r="E81" s="35">
        <v>31</v>
      </c>
      <c r="F81" s="36"/>
      <c r="G81" s="35"/>
    </row>
    <row r="82" spans="1:7">
      <c r="A82" s="35" t="s">
        <v>283</v>
      </c>
      <c r="B82" s="36">
        <v>57</v>
      </c>
      <c r="C82" s="35">
        <v>16</v>
      </c>
      <c r="D82" s="36"/>
      <c r="E82" s="35">
        <v>43</v>
      </c>
      <c r="F82" s="36"/>
      <c r="G82" s="35"/>
    </row>
    <row r="83" spans="1:7">
      <c r="A83" s="35" t="s">
        <v>284</v>
      </c>
      <c r="B83" s="36">
        <v>66</v>
      </c>
      <c r="C83" s="35">
        <v>13</v>
      </c>
      <c r="D83" s="36"/>
      <c r="E83" s="35">
        <v>34</v>
      </c>
      <c r="F83" s="36"/>
      <c r="G83" s="35"/>
    </row>
    <row r="84" spans="1:7">
      <c r="A84" s="35" t="s">
        <v>285</v>
      </c>
      <c r="B84" s="36">
        <v>48</v>
      </c>
      <c r="C84" s="35">
        <v>16</v>
      </c>
      <c r="D84" s="36"/>
      <c r="E84" s="35">
        <v>52</v>
      </c>
      <c r="F84" s="36"/>
      <c r="G84" s="35"/>
    </row>
    <row r="85" spans="1:7">
      <c r="A85" s="35" t="s">
        <v>286</v>
      </c>
      <c r="B85" s="36">
        <v>91</v>
      </c>
      <c r="C85" s="35">
        <v>2</v>
      </c>
      <c r="D85" s="36"/>
      <c r="E85" s="35">
        <v>9</v>
      </c>
      <c r="F85" s="36"/>
      <c r="G85" s="35"/>
    </row>
    <row r="86" spans="1:7">
      <c r="A86" s="35" t="s">
        <v>287</v>
      </c>
      <c r="B86" s="36">
        <v>49</v>
      </c>
      <c r="C86" s="35">
        <v>19</v>
      </c>
      <c r="D86" s="36"/>
      <c r="E86" s="35">
        <v>51</v>
      </c>
      <c r="F86" s="36"/>
      <c r="G86" s="35"/>
    </row>
    <row r="87" spans="1:7">
      <c r="A87" s="35" t="s">
        <v>288</v>
      </c>
      <c r="B87" s="36">
        <v>80</v>
      </c>
      <c r="C87" s="35">
        <v>2</v>
      </c>
      <c r="D87" s="36"/>
      <c r="E87" s="35">
        <v>20</v>
      </c>
      <c r="F87" s="36"/>
      <c r="G87" s="35"/>
    </row>
    <row r="88" spans="1:7">
      <c r="A88" s="35" t="s">
        <v>289</v>
      </c>
      <c r="B88" s="36">
        <v>81</v>
      </c>
      <c r="C88" s="35">
        <v>6</v>
      </c>
      <c r="D88" s="36"/>
      <c r="E88" s="35">
        <v>19</v>
      </c>
      <c r="F88" s="36"/>
      <c r="G88" s="35"/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40"/>
  <sheetViews>
    <sheetView topLeftCell="A25" workbookViewId="0">
      <selection activeCell="D41" sqref="D41"/>
    </sheetView>
  </sheetViews>
  <sheetFormatPr defaultRowHeight="14.4"/>
  <sheetData>
    <row r="1" spans="1:19">
      <c r="B1" t="s">
        <v>290</v>
      </c>
      <c r="C1" t="s">
        <v>291</v>
      </c>
      <c r="E1">
        <f>4+123+25+27+4</f>
        <v>183</v>
      </c>
      <c r="G1" t="s">
        <v>292</v>
      </c>
      <c r="H1" t="s">
        <v>293</v>
      </c>
      <c r="I1" t="s">
        <v>294</v>
      </c>
    </row>
    <row r="2" spans="1:19">
      <c r="A2" t="s">
        <v>292</v>
      </c>
      <c r="B2">
        <v>18.8</v>
      </c>
      <c r="C2">
        <v>18.399999999999999</v>
      </c>
      <c r="G2">
        <v>18.8</v>
      </c>
      <c r="H2">
        <v>23.8</v>
      </c>
      <c r="I2">
        <v>-11.9</v>
      </c>
      <c r="J2">
        <v>26.3</v>
      </c>
      <c r="S2" s="38" t="s">
        <v>295</v>
      </c>
    </row>
    <row r="3" spans="1:19">
      <c r="A3" t="s">
        <v>293</v>
      </c>
      <c r="B3">
        <v>23.8</v>
      </c>
      <c r="C3">
        <v>31.1</v>
      </c>
      <c r="D3">
        <v>28.8</v>
      </c>
      <c r="G3">
        <v>18.399999999999999</v>
      </c>
      <c r="H3">
        <v>31.1</v>
      </c>
      <c r="I3">
        <v>-15.6</v>
      </c>
    </row>
    <row r="4" spans="1:19" ht="15.6">
      <c r="A4" t="s">
        <v>294</v>
      </c>
      <c r="B4">
        <v>-11.9</v>
      </c>
      <c r="C4">
        <v>-15.6</v>
      </c>
      <c r="D4">
        <v>-14.4</v>
      </c>
      <c r="H4">
        <v>28.8</v>
      </c>
      <c r="I4">
        <v>-14.4</v>
      </c>
      <c r="M4" s="23" t="s">
        <v>296</v>
      </c>
      <c r="O4" t="s">
        <v>297</v>
      </c>
      <c r="P4">
        <f>242+(292-39.9)+242-29.5</f>
        <v>706.6</v>
      </c>
    </row>
    <row r="5" spans="1:19">
      <c r="G5">
        <v>19.2</v>
      </c>
      <c r="H5">
        <v>34.9</v>
      </c>
      <c r="I5">
        <v>-17.399999999999999</v>
      </c>
      <c r="P5">
        <f>P4/1000</f>
        <v>0.70660000000000001</v>
      </c>
    </row>
    <row r="6" spans="1:19">
      <c r="G6">
        <v>26.2</v>
      </c>
      <c r="H6">
        <v>41.8</v>
      </c>
      <c r="I6">
        <v>-16.7</v>
      </c>
      <c r="J6">
        <f>H6/2.5</f>
        <v>16.72</v>
      </c>
      <c r="O6" t="s">
        <v>298</v>
      </c>
      <c r="P6">
        <f>27.6/342/P5</f>
        <v>0.11421137048678873</v>
      </c>
      <c r="Q6" t="s">
        <v>299</v>
      </c>
    </row>
    <row r="7" spans="1:19">
      <c r="G7">
        <v>20.7</v>
      </c>
      <c r="H7">
        <v>31.4</v>
      </c>
      <c r="I7">
        <v>-15.7</v>
      </c>
      <c r="P7">
        <v>17.2</v>
      </c>
    </row>
    <row r="8" spans="1:19">
      <c r="G8">
        <v>26.3</v>
      </c>
      <c r="H8">
        <v>27.6</v>
      </c>
      <c r="I8">
        <v>-11.1</v>
      </c>
    </row>
    <row r="9" spans="1:19">
      <c r="G9">
        <v>17.2</v>
      </c>
      <c r="H9">
        <v>25</v>
      </c>
      <c r="I9">
        <v>-13</v>
      </c>
    </row>
    <row r="11" spans="1:19">
      <c r="A11">
        <v>6100</v>
      </c>
    </row>
    <row r="12" spans="1:19">
      <c r="A12">
        <v>0.45</v>
      </c>
    </row>
    <row r="13" spans="1:19">
      <c r="A13">
        <f>A12*A11</f>
        <v>2745</v>
      </c>
    </row>
    <row r="40" spans="4:4">
      <c r="D40">
        <f>27.6/2.5</f>
        <v>11.040000000000001</v>
      </c>
    </row>
  </sheetData>
  <phoneticPr fontId="6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Receita agua</vt:lpstr>
      <vt:lpstr>receita leite</vt:lpstr>
      <vt:lpstr>custo</vt:lpstr>
      <vt:lpstr>Picole</vt:lpstr>
      <vt:lpstr>Propriedades Acucar</vt:lpstr>
      <vt:lpstr>Propriedades Leite</vt:lpstr>
      <vt:lpstr>propriedades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Oziel</dc:creator>
  <cp:keywords/>
  <dc:description/>
  <cp:lastModifiedBy>osiel lopes</cp:lastModifiedBy>
  <cp:revision/>
  <dcterms:created xsi:type="dcterms:W3CDTF">2017-09-26T19:29:10Z</dcterms:created>
  <dcterms:modified xsi:type="dcterms:W3CDTF">2026-09-22T19:16:50Z</dcterms:modified>
  <cp:category/>
  <cp:contentStatus/>
</cp:coreProperties>
</file>